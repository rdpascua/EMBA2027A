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2014 Actual Data" sheetId="1" state="visible" r:id="rId1"/>
    <sheet xmlns:r="http://schemas.openxmlformats.org/officeDocument/2006/relationships" name="Sensitivity Analysis" sheetId="2" state="visible" r:id="rId2"/>
    <sheet xmlns:r="http://schemas.openxmlformats.org/officeDocument/2006/relationships" name="Forecast Template" sheetId="3" state="visible" r:id="rId3"/>
    <sheet xmlns:r="http://schemas.openxmlformats.org/officeDocument/2006/relationships" name="Summary &amp; Recommendations" sheetId="4" state="visible" r:id="rId4"/>
    <sheet xmlns:r="http://schemas.openxmlformats.org/officeDocument/2006/relationships" name="Common-Sized Statements" sheetId="5" state="visible" r:id="rId5"/>
    <sheet xmlns:r="http://schemas.openxmlformats.org/officeDocument/2006/relationships" name="Financial Ratios Analysis" sheetId="6" state="visible" r:id="rId6"/>
    <sheet xmlns:r="http://schemas.openxmlformats.org/officeDocument/2006/relationships" name="Scenario Comparison" sheetId="7" state="visible" r:id="rId7"/>
    <sheet xmlns:r="http://schemas.openxmlformats.org/officeDocument/2006/relationships" name="Funding Gap Analysis" sheetId="8" state="visible" r:id="rId8"/>
    <sheet xmlns:r="http://schemas.openxmlformats.org/officeDocument/2006/relationships" name="Breakeven Analysis" sheetId="9" state="visible" r:id="rId9"/>
    <sheet xmlns:r="http://schemas.openxmlformats.org/officeDocument/2006/relationships" name="Key Insights &amp; Ris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  <sz val="12"/>
    </font>
    <font>
      <b val="1"/>
      <color rgb="00FF0000"/>
      <sz val="12"/>
    </font>
    <font>
      <b val="1"/>
      <color rgb="001F4E78"/>
      <sz val="12"/>
    </font>
    <font>
      <b val="1"/>
      <color rgb="001F4E78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Structure vs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'Q1 2014 Actual Data'!B33</f>
            </strRef>
          </tx>
          <spPr>
            <a:ln xmlns:a="http://schemas.openxmlformats.org/drawingml/2006/main">
              <a:prstDash val="solid"/>
            </a:ln>
          </spPr>
          <cat>
            <numRef>
              <f>'Q1 2014 Actual Data'!$A$34:$A$37</f>
            </numRef>
          </cat>
          <val>
            <numRef>
              <f>'Q1 2014 Actual Data'!$B$34:$B$37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(Rs)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Gross Margin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'Sensitivity Analysis'!B29</f>
            </strRef>
          </tx>
          <spPr>
            <a:ln xmlns:a="http://schemas.openxmlformats.org/drawingml/2006/main">
              <a:prstDash val="solid"/>
            </a:ln>
          </spPr>
          <cat>
            <numRef>
              <f>'Sensitivity Analysis'!$A$30:$A$31</f>
            </numRef>
          </cat>
          <val>
            <numRef>
              <f>'Sensitivity Analysis'!$B$30:$B$31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Gross Profit (Rs)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Working Capital Requirements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'Sensitivity Analysis'!D29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'Sensitivity Analysis'!$A$30:$A$31</f>
            </numRef>
          </cat>
          <val>
            <numRef>
              <f>'Sensitivity Analysis'!$D$30:$D$31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(Rs)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Cash Runway Projection</a:t>
            </a:r>
          </a:p>
        </rich>
      </tx>
    </title>
    <plotArea>
      <lineChart>
        <grouping val="standard"/>
        <ser>
          <idx val="0"/>
          <order val="0"/>
          <tx>
            <strRef>
              <f>'Funding Gap Analysis'!B24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'Funding Gap Analysis'!$A$25</f>
            </numRef>
          </cat>
          <val>
            <numRef>
              <f>'Funding Gap Analysis'!$B$25</f>
            </numRef>
          </val>
        </ser>
        <ser>
          <idx val="1"/>
          <order val="1"/>
          <tx>
            <strRef>
              <f>'Funding Gap Analysis'!C24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'Funding Gap Analysis'!$A$25</f>
            </numRef>
          </cat>
          <val>
            <numRef>
              <f>'Funding Gap Analysis'!$C$25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Period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Cash Balance (Rs)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Breakeven Sales Required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'Breakeven Analysis'!B24</f>
            </strRef>
          </tx>
          <spPr>
            <a:ln xmlns:a="http://schemas.openxmlformats.org/drawingml/2006/main">
              <a:prstDash val="solid"/>
            </a:ln>
          </spPr>
          <cat>
            <numRef>
              <f>'Breakeven Analysis'!$A$25:$A$26</f>
            </numRef>
          </cat>
          <val>
            <numRef>
              <f>'Breakeven Analysis'!$B$25:$B$26</f>
            </numRef>
          </val>
        </ser>
        <ser>
          <idx val="1"/>
          <order val="1"/>
          <tx>
            <strRef>
              <f>'Breakeven Analysis'!C24</f>
            </strRef>
          </tx>
          <spPr>
            <a:ln xmlns:a="http://schemas.openxmlformats.org/drawingml/2006/main">
              <a:prstDash val="solid"/>
            </a:ln>
          </spPr>
          <cat>
            <numRef>
              <f>'Breakeven Analysis'!$A$25:$A$26</f>
            </numRef>
          </cat>
          <val>
            <numRef>
              <f>'Breakeven Analysis'!$C$25:$C$26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(Rs)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19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3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19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27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3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25" customWidth="1" min="6" max="6"/>
    <col width="15" customWidth="1" min="7" max="7"/>
  </cols>
  <sheetData>
    <row r="1">
      <c r="A1" s="1" t="inlineStr">
        <is>
          <t>WhichKraft Financial Analysis - Q1 2014 Actual Results</t>
        </is>
      </c>
    </row>
    <row r="3">
      <c r="A3" s="2" t="inlineStr">
        <is>
          <t>INCOME STATEMENT (Jan-Mar 2014)</t>
        </is>
      </c>
      <c r="F3" s="2" t="inlineStr">
        <is>
          <t>KEY METRICS</t>
        </is>
      </c>
    </row>
    <row r="4">
      <c r="A4" s="3" t="inlineStr">
        <is>
          <t>Line Item</t>
        </is>
      </c>
      <c r="B4" s="3" t="inlineStr">
        <is>
          <t>Amount (Rs)</t>
        </is>
      </c>
      <c r="C4" s="3" t="inlineStr">
        <is>
          <t>% of Sales</t>
        </is>
      </c>
      <c r="D4" s="3" t="inlineStr"/>
      <c r="F4" s="3" t="inlineStr">
        <is>
          <t>Metric</t>
        </is>
      </c>
      <c r="G4" s="3" t="inlineStr">
        <is>
          <t>Value</t>
        </is>
      </c>
    </row>
    <row r="5">
      <c r="A5" t="inlineStr">
        <is>
          <t>Net Sales</t>
        </is>
      </c>
      <c r="B5" s="4" t="n">
        <v>141350</v>
      </c>
      <c r="C5" t="inlineStr">
        <is>
          <t>100.0%</t>
        </is>
      </c>
      <c r="F5" t="inlineStr">
        <is>
          <t>Gross Margin</t>
        </is>
      </c>
      <c r="G5" t="inlineStr">
        <is>
          <t>38.8%</t>
        </is>
      </c>
    </row>
    <row r="6">
      <c r="A6" t="inlineStr">
        <is>
          <t>Less: COGS</t>
        </is>
      </c>
      <c r="B6" s="4" t="n">
        <v>40623</v>
      </c>
      <c r="C6" t="inlineStr">
        <is>
          <t>28.7%</t>
        </is>
      </c>
      <c r="F6" t="inlineStr">
        <is>
          <t>Operating Margin</t>
        </is>
      </c>
      <c r="G6" t="inlineStr">
        <is>
          <t>-158.9%</t>
        </is>
      </c>
    </row>
    <row r="7">
      <c r="A7" t="inlineStr">
        <is>
          <t>Less: Other Direct Expenses</t>
        </is>
      </c>
      <c r="B7" s="4" t="n">
        <v>45833</v>
      </c>
      <c r="C7" t="inlineStr">
        <is>
          <t>32.4%</t>
        </is>
      </c>
      <c r="F7" t="inlineStr">
        <is>
          <t>Net Margin</t>
        </is>
      </c>
      <c r="G7" t="inlineStr">
        <is>
          <t>-158.9%</t>
        </is>
      </c>
    </row>
    <row r="8">
      <c r="A8" t="inlineStr">
        <is>
          <t>Gross Profit</t>
        </is>
      </c>
      <c r="B8" s="4" t="n">
        <v>54894</v>
      </c>
      <c r="C8" t="inlineStr">
        <is>
          <t>38.8%</t>
        </is>
      </c>
    </row>
    <row r="9">
      <c r="F9" t="inlineStr">
        <is>
          <t>Quarterly Loss</t>
        </is>
      </c>
      <c r="G9" t="inlineStr">
        <is>
          <t>Rs 224,660</t>
        </is>
      </c>
    </row>
    <row r="10">
      <c r="A10" t="inlineStr">
        <is>
          <t>SG&amp;A Expenses</t>
        </is>
      </c>
      <c r="B10" s="4" t="n">
        <v>279554</v>
      </c>
      <c r="C10" t="inlineStr">
        <is>
          <t>197.8%</t>
        </is>
      </c>
      <c r="F10" t="inlineStr">
        <is>
          <t>Annual Burn Rate</t>
        </is>
      </c>
      <c r="G10" t="inlineStr">
        <is>
          <t>Rs 898,640</t>
        </is>
      </c>
    </row>
    <row r="11">
      <c r="A11" t="inlineStr">
        <is>
          <t>EBIT</t>
        </is>
      </c>
      <c r="B11" s="4" t="n">
        <v>-224660</v>
      </c>
      <c r="C11" t="inlineStr">
        <is>
          <t>-158.9%</t>
        </is>
      </c>
      <c r="F11" t="inlineStr">
        <is>
          <t>Cash Runway</t>
        </is>
      </c>
      <c r="G11" t="inlineStr">
        <is>
          <t>2.8 quarters</t>
        </is>
      </c>
    </row>
    <row r="12">
      <c r="A12" t="inlineStr">
        <is>
          <t>Income Taxes</t>
        </is>
      </c>
      <c r="B12" s="4" t="n">
        <v>0</v>
      </c>
      <c r="C12" t="inlineStr">
        <is>
          <t>0.0%</t>
        </is>
      </c>
    </row>
    <row r="13">
      <c r="A13" t="inlineStr">
        <is>
          <t>Net Income (Loss)</t>
        </is>
      </c>
      <c r="B13" s="4" t="n">
        <v>-224660</v>
      </c>
      <c r="C13" t="inlineStr">
        <is>
          <t>-158.9%</t>
        </is>
      </c>
      <c r="F13" t="inlineStr">
        <is>
          <t>Inventory as % of Sales</t>
        </is>
      </c>
      <c r="G13" t="inlineStr">
        <is>
          <t>15.0%</t>
        </is>
      </c>
    </row>
    <row r="14">
      <c r="F14" t="inlineStr">
        <is>
          <t>Cash as % of Assets</t>
        </is>
      </c>
      <c r="G14" t="inlineStr">
        <is>
          <t>81.0%</t>
        </is>
      </c>
    </row>
    <row r="15"/>
    <row r="16">
      <c r="A16" s="2" t="inlineStr">
        <is>
          <t>BALANCE SHEET (as of March 31, 2014)</t>
        </is>
      </c>
      <c r="F16" t="inlineStr">
        <is>
          <t>Breakeven Sales Needed</t>
        </is>
      </c>
      <c r="G16" t="inlineStr">
        <is>
          <t>Rs 720,500/quarter</t>
        </is>
      </c>
    </row>
    <row r="17">
      <c r="A17" s="3" t="inlineStr">
        <is>
          <t>Line Item</t>
        </is>
      </c>
      <c r="B17" s="3" t="inlineStr">
        <is>
          <t>Amount (Rs)</t>
        </is>
      </c>
      <c r="C17" s="3" t="inlineStr">
        <is>
          <t>% of Total Assets</t>
        </is>
      </c>
      <c r="D17" s="3" t="inlineStr"/>
      <c r="F17" t="inlineStr">
        <is>
          <t>Current Sales</t>
        </is>
      </c>
      <c r="G17" t="inlineStr">
        <is>
          <t>Rs 141,350</t>
        </is>
      </c>
    </row>
    <row r="18">
      <c r="A18" t="inlineStr">
        <is>
          <t>ASSETS</t>
        </is>
      </c>
      <c r="F18" t="inlineStr">
        <is>
          <t>Required Growth</t>
        </is>
      </c>
      <c r="G18" t="inlineStr">
        <is>
          <t>5.1x</t>
        </is>
      </c>
    </row>
    <row r="19">
      <c r="A19" t="inlineStr">
        <is>
          <t>Website, IP rights</t>
        </is>
      </c>
      <c r="B19" s="5" t="n">
        <v>125943</v>
      </c>
      <c r="C19" t="inlineStr">
        <is>
          <t>16.2%</t>
        </is>
      </c>
    </row>
    <row r="20">
      <c r="A20" t="inlineStr">
        <is>
          <t>Inventory</t>
        </is>
      </c>
      <c r="B20" s="5" t="n">
        <v>21202.5</v>
      </c>
      <c r="C20" t="inlineStr">
        <is>
          <t>2.7%</t>
        </is>
      </c>
    </row>
    <row r="21">
      <c r="A21" t="inlineStr">
        <is>
          <t>Cash</t>
        </is>
      </c>
      <c r="B21" s="5" t="n">
        <v>628194.5</v>
      </c>
      <c r="C21" t="inlineStr">
        <is>
          <t>81.0%</t>
        </is>
      </c>
    </row>
    <row r="22">
      <c r="A22" t="inlineStr">
        <is>
          <t>Total Assets</t>
        </is>
      </c>
      <c r="B22" s="5" t="n">
        <v>775340</v>
      </c>
      <c r="C22" t="inlineStr">
        <is>
          <t>100.0%</t>
        </is>
      </c>
    </row>
    <row r="23"/>
    <row r="24">
      <c r="A24" t="inlineStr">
        <is>
          <t>EQUITY</t>
        </is>
      </c>
    </row>
    <row r="25">
      <c r="A25" t="inlineStr">
        <is>
          <t>Paid up capital</t>
        </is>
      </c>
      <c r="B25" s="5" t="n">
        <v>1000000</v>
      </c>
    </row>
    <row r="26">
      <c r="A26" t="inlineStr">
        <is>
          <t>Retained Earnings (Loss)</t>
        </is>
      </c>
      <c r="B26" s="5" t="n">
        <v>-224660</v>
      </c>
    </row>
    <row r="27">
      <c r="A27" t="inlineStr">
        <is>
          <t>Total Shareholder's Equity</t>
        </is>
      </c>
      <c r="B27" s="5" t="n">
        <v>775340</v>
      </c>
    </row>
    <row r="32">
      <c r="A32" t="inlineStr">
        <is>
          <t>Chart Data: Costs</t>
        </is>
      </c>
    </row>
    <row r="33">
      <c r="A33" t="inlineStr">
        <is>
          <t>Category</t>
        </is>
      </c>
      <c r="B33" t="inlineStr">
        <is>
          <t>Amount</t>
        </is>
      </c>
    </row>
    <row r="34">
      <c r="A34" t="inlineStr">
        <is>
          <t>COGS</t>
        </is>
      </c>
      <c r="B34" t="n">
        <v>40623</v>
      </c>
    </row>
    <row r="35">
      <c r="A35" t="inlineStr">
        <is>
          <t>Other Direct</t>
        </is>
      </c>
      <c r="B35" t="n">
        <v>45833</v>
      </c>
    </row>
    <row r="36">
      <c r="A36" t="inlineStr">
        <is>
          <t>SG&amp;A</t>
        </is>
      </c>
      <c r="B36" t="n">
        <v>279554</v>
      </c>
    </row>
    <row r="37">
      <c r="A37" t="inlineStr">
        <is>
          <t>Net Sales (ref)</t>
        </is>
      </c>
      <c r="B37" t="n">
        <v>141350</v>
      </c>
    </row>
  </sheetData>
  <mergeCells count="4">
    <mergeCell ref="F3:G3"/>
    <mergeCell ref="A1:D1"/>
    <mergeCell ref="A3:D3"/>
    <mergeCell ref="A16:D1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Sensitivity Analysis: Base vs Alternative Scenario</t>
        </is>
      </c>
    </row>
    <row r="3">
      <c r="A3" s="2" t="inlineStr">
        <is>
          <t>ASSUMPTIONS</t>
        </is>
      </c>
    </row>
    <row r="4">
      <c r="A4" s="3" t="inlineStr">
        <is>
          <t>Parameter</t>
        </is>
      </c>
      <c r="B4" s="3" t="inlineStr">
        <is>
          <t>Base Case</t>
        </is>
      </c>
      <c r="C4" s="3" t="inlineStr">
        <is>
          <t>Sensitivity Case</t>
        </is>
      </c>
      <c r="D4" s="3" t="inlineStr">
        <is>
          <t>Change</t>
        </is>
      </c>
    </row>
    <row r="5">
      <c r="A5" t="inlineStr">
        <is>
          <t>COGS (% of sales)</t>
        </is>
      </c>
      <c r="B5" t="inlineStr">
        <is>
          <t>28.7%</t>
        </is>
      </c>
      <c r="C5" t="inlineStr">
        <is>
          <t>35.0%</t>
        </is>
      </c>
      <c r="D5" t="inlineStr">
        <is>
          <t>+6.3pp</t>
        </is>
      </c>
    </row>
    <row r="6">
      <c r="A6" t="inlineStr">
        <is>
          <t>Other Direct (% of sales)</t>
        </is>
      </c>
      <c r="B6" t="inlineStr">
        <is>
          <t>32.4%</t>
        </is>
      </c>
      <c r="C6" t="inlineStr">
        <is>
          <t>32.4%</t>
        </is>
      </c>
      <c r="D6" t="inlineStr">
        <is>
          <t>0pp</t>
        </is>
      </c>
    </row>
    <row r="7">
      <c r="A7" t="inlineStr">
        <is>
          <t>Receivables Days</t>
        </is>
      </c>
      <c r="B7" t="inlineStr">
        <is>
          <t>0</t>
        </is>
      </c>
      <c r="C7" t="inlineStr">
        <is>
          <t>70</t>
        </is>
      </c>
      <c r="D7" t="inlineStr">
        <is>
          <t>+70 days</t>
        </is>
      </c>
    </row>
    <row r="8">
      <c r="A8" t="inlineStr">
        <is>
          <t>Gross Margin</t>
        </is>
      </c>
      <c r="B8" t="inlineStr">
        <is>
          <t>38.8%</t>
        </is>
      </c>
      <c r="C8" t="inlineStr">
        <is>
          <t>32.6%</t>
        </is>
      </c>
      <c r="D8" t="inlineStr">
        <is>
          <t>-6.2pp</t>
        </is>
      </c>
    </row>
    <row r="11">
      <c r="A11" s="2" t="inlineStr">
        <is>
          <t>IMPACT ANALYSIS (Based on Q1 Sales of Rs 141,350)</t>
        </is>
      </c>
    </row>
    <row r="12">
      <c r="A12" s="3" t="inlineStr">
        <is>
          <t>Metric</t>
        </is>
      </c>
      <c r="B12" s="3" t="inlineStr">
        <is>
          <t>Base Case</t>
        </is>
      </c>
      <c r="C12" s="3" t="inlineStr">
        <is>
          <t>Sensitivity</t>
        </is>
      </c>
      <c r="D12" s="3" t="inlineStr">
        <is>
          <t>Difference</t>
        </is>
      </c>
    </row>
    <row r="13">
      <c r="A13" t="inlineStr">
        <is>
          <t>Gross Profit (Rs)</t>
        </is>
      </c>
      <c r="B13" s="4" t="n">
        <v>54843</v>
      </c>
      <c r="C13" s="4" t="n">
        <v>46080</v>
      </c>
      <c r="D13" s="4" t="n">
        <v>-8763</v>
      </c>
    </row>
    <row r="14">
      <c r="A14" t="inlineStr">
        <is>
          <t>Gross Margin %</t>
        </is>
      </c>
      <c r="B14" t="inlineStr">
        <is>
          <t>38.8%</t>
        </is>
      </c>
      <c r="C14" t="inlineStr">
        <is>
          <t>32.6%</t>
        </is>
      </c>
      <c r="D14" t="inlineStr">
        <is>
          <t>-6.2pp</t>
        </is>
      </c>
    </row>
    <row r="15"/>
    <row r="16">
      <c r="A16" t="inlineStr">
        <is>
          <t>Working Capital:</t>
        </is>
      </c>
    </row>
    <row r="17">
      <c r="A17" t="inlineStr">
        <is>
          <t>Inventory</t>
        </is>
      </c>
      <c r="B17" s="4" t="n">
        <v>21202</v>
      </c>
      <c r="C17" s="4" t="n">
        <v>21202</v>
      </c>
      <c r="D17" s="4" t="n">
        <v>0</v>
      </c>
    </row>
    <row r="18">
      <c r="A18" t="inlineStr">
        <is>
          <t>Receivables</t>
        </is>
      </c>
      <c r="B18" s="4" t="n">
        <v>0</v>
      </c>
      <c r="C18" s="4" t="n">
        <v>108432</v>
      </c>
      <c r="D18" s="4" t="n">
        <v>108432</v>
      </c>
    </row>
    <row r="19">
      <c r="A19" t="inlineStr">
        <is>
          <t>Total WC</t>
        </is>
      </c>
      <c r="B19" s="4" t="n">
        <v>21202</v>
      </c>
      <c r="C19" s="4" t="n">
        <v>129635</v>
      </c>
      <c r="D19" s="4" t="n">
        <v>108432</v>
      </c>
    </row>
    <row r="20"/>
    <row r="21">
      <c r="A21" t="inlineStr">
        <is>
          <t>Cash Impact per Quarter:</t>
        </is>
      </c>
    </row>
    <row r="22">
      <c r="A22" t="inlineStr">
        <is>
          <t>Lower Gross Profit</t>
        </is>
      </c>
      <c r="D22" s="4" t="n">
        <v>-8763</v>
      </c>
    </row>
    <row r="23">
      <c r="A23" t="inlineStr">
        <is>
          <t>Cash in Receivables</t>
        </is>
      </c>
      <c r="D23" s="4" t="n">
        <v>-108432</v>
      </c>
    </row>
    <row r="24">
      <c r="A24" t="inlineStr">
        <is>
          <t>Total Cash Impact</t>
        </is>
      </c>
      <c r="D24" s="4" t="n">
        <v>-117196</v>
      </c>
    </row>
    <row r="28">
      <c r="A28" t="inlineStr">
        <is>
          <t>Chart Data</t>
        </is>
      </c>
    </row>
    <row r="29">
      <c r="A29" t="inlineStr">
        <is>
          <t>Scenario</t>
        </is>
      </c>
      <c r="B29" t="inlineStr">
        <is>
          <t>Gross Profit</t>
        </is>
      </c>
      <c r="D29" t="inlineStr">
        <is>
          <t>WC Amount</t>
        </is>
      </c>
    </row>
    <row r="30">
      <c r="A30" t="inlineStr">
        <is>
          <t>Base Case</t>
        </is>
      </c>
      <c r="B30" t="n">
        <v>54843</v>
      </c>
      <c r="D30" t="n">
        <v>21202</v>
      </c>
    </row>
    <row r="31">
      <c r="A31" t="inlineStr">
        <is>
          <t>Sensitivity</t>
        </is>
      </c>
      <c r="B31" t="n">
        <v>46080</v>
      </c>
      <c r="D31" t="n">
        <v>129635</v>
      </c>
    </row>
  </sheetData>
  <mergeCells count="3">
    <mergeCell ref="A11:E11"/>
    <mergeCell ref="A1:E1"/>
    <mergeCell ref="A3:E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Financial Forecast Template</t>
        </is>
      </c>
    </row>
    <row r="3">
      <c r="A3" s="6" t="inlineStr">
        <is>
          <t>INPUT YOUR SALES ASSUMPTIONS HERE:</t>
        </is>
      </c>
    </row>
    <row r="5">
      <c r="A5" s="3" t="inlineStr">
        <is>
          <t>Line Item</t>
        </is>
      </c>
      <c r="B5" s="3" t="inlineStr">
        <is>
          <t>Q1 2014
(Actual)</t>
        </is>
      </c>
      <c r="C5" s="3" t="inlineStr">
        <is>
          <t>2014-2015</t>
        </is>
      </c>
      <c r="D5" s="3" t="inlineStr">
        <is>
          <t>2015-2016</t>
        </is>
      </c>
      <c r="E5" s="3" t="inlineStr">
        <is>
          <t>2016-2017</t>
        </is>
      </c>
    </row>
    <row r="6"/>
    <row r="7">
      <c r="A7" s="2" t="inlineStr">
        <is>
          <t>INCOME STATEMENT</t>
        </is>
      </c>
      <c r="C7" s="7" t="n"/>
      <c r="D7" s="7" t="n"/>
      <c r="E7" s="7" t="n"/>
    </row>
    <row r="8">
      <c r="A8" t="inlineStr">
        <is>
          <t>Net Sales</t>
        </is>
      </c>
      <c r="B8" s="5" t="n">
        <v>141350</v>
      </c>
    </row>
    <row r="9">
      <c r="A9" t="inlineStr">
        <is>
          <t>Less: COGS (28.7%)</t>
        </is>
      </c>
      <c r="B9" s="5" t="n">
        <v>40623</v>
      </c>
      <c r="C9">
        <f>B7*0.287</f>
        <v/>
      </c>
      <c r="D9">
        <f>C7*0.287</f>
        <v/>
      </c>
      <c r="E9">
        <f>D7*0.287</f>
        <v/>
      </c>
    </row>
    <row r="10">
      <c r="A10" t="inlineStr">
        <is>
          <t>Less: Other Direct (32.4%)</t>
        </is>
      </c>
      <c r="B10" s="5" t="n">
        <v>45833</v>
      </c>
      <c r="C10">
        <f>B7*0.324</f>
        <v/>
      </c>
      <c r="D10">
        <f>C7*0.324</f>
        <v/>
      </c>
      <c r="E10">
        <f>D7*0.324</f>
        <v/>
      </c>
    </row>
    <row r="11">
      <c r="A11" t="inlineStr">
        <is>
          <t>Gross Profit</t>
        </is>
      </c>
      <c r="B11" s="5" t="n">
        <v>54894</v>
      </c>
      <c r="C11" s="7">
        <f>B7-B8-B9</f>
        <v/>
      </c>
      <c r="D11" s="7">
        <f>C7-C8-C9</f>
        <v/>
      </c>
      <c r="E11" s="7">
        <f>D7-D8-D9</f>
        <v/>
      </c>
    </row>
    <row r="12">
      <c r="A12" t="inlineStr">
        <is>
          <t>SG&amp;A Expenses</t>
        </is>
      </c>
      <c r="B12" s="5" t="n">
        <v>279554</v>
      </c>
    </row>
    <row r="13">
      <c r="A13" t="inlineStr">
        <is>
          <t>EBIT</t>
        </is>
      </c>
      <c r="B13" s="5" t="n">
        <v>-224660</v>
      </c>
      <c r="C13">
        <f>B10-B11</f>
        <v/>
      </c>
      <c r="D13">
        <f>C10-C11</f>
        <v/>
      </c>
      <c r="E13">
        <f>D10-D11</f>
        <v/>
      </c>
    </row>
    <row r="14">
      <c r="A14" t="inlineStr">
        <is>
          <t>Net Income</t>
        </is>
      </c>
      <c r="B14" s="5" t="n">
        <v>-224660</v>
      </c>
      <c r="C14">
        <f>B12</f>
        <v/>
      </c>
      <c r="D14">
        <f>C12</f>
        <v/>
      </c>
      <c r="E14">
        <f>D12</f>
        <v/>
      </c>
    </row>
    <row r="15"/>
    <row r="16">
      <c r="A16" s="2" t="inlineStr">
        <is>
          <t>BALANCE SHEET</t>
        </is>
      </c>
    </row>
    <row r="17">
      <c r="A17" t="inlineStr">
        <is>
          <t>Website/IP</t>
        </is>
      </c>
      <c r="B17" s="5" t="n">
        <v>125943</v>
      </c>
      <c r="C17" s="5" t="n">
        <v>125943</v>
      </c>
      <c r="D17" s="5" t="n">
        <v>125943</v>
      </c>
      <c r="E17" s="5" t="n">
        <v>125943</v>
      </c>
    </row>
    <row r="18">
      <c r="A18" t="inlineStr">
        <is>
          <t>Inventory (15% of sales)</t>
        </is>
      </c>
      <c r="B18" s="5" t="n">
        <v>21202.5</v>
      </c>
      <c r="C18">
        <f>B7*0.15</f>
        <v/>
      </c>
      <c r="D18">
        <f>C7*0.15</f>
        <v/>
      </c>
      <c r="E18">
        <f>D7*0.15</f>
        <v/>
      </c>
    </row>
    <row r="19">
      <c r="A19" t="inlineStr">
        <is>
          <t>Cash</t>
        </is>
      </c>
      <c r="B19" s="5" t="n">
        <v>628194.5</v>
      </c>
      <c r="C19">
        <f>B18+B13-(B17-$B$17)</f>
        <v/>
      </c>
      <c r="D19">
        <f>C18+C13-(C17-B17)</f>
        <v/>
      </c>
      <c r="E19">
        <f>D18+D13-(D17-C17)</f>
        <v/>
      </c>
    </row>
    <row r="20">
      <c r="A20" t="inlineStr">
        <is>
          <t>Total Assets</t>
        </is>
      </c>
      <c r="B20" s="5" t="n">
        <v>775340</v>
      </c>
      <c r="C20">
        <f>B16+B17+B18</f>
        <v/>
      </c>
      <c r="D20">
        <f>C16+C17+C18</f>
        <v/>
      </c>
      <c r="E20">
        <f>D16+D17+D18</f>
        <v/>
      </c>
    </row>
    <row r="21">
      <c r="A21" t="inlineStr">
        <is>
          <t>Paid Capital</t>
        </is>
      </c>
      <c r="B21" s="5" t="n">
        <v>1000000</v>
      </c>
      <c r="C21" s="5" t="n">
        <v>1000000</v>
      </c>
      <c r="D21" s="5" t="n">
        <v>1000000</v>
      </c>
      <c r="E21" s="5" t="n">
        <v>1000000</v>
      </c>
    </row>
    <row r="22">
      <c r="A22" t="inlineStr">
        <is>
          <t>Retained Earnings</t>
        </is>
      </c>
      <c r="B22" s="5" t="n">
        <v>-224660</v>
      </c>
      <c r="C22">
        <f>B21+B13</f>
        <v/>
      </c>
      <c r="D22">
        <f>C21+C13</f>
        <v/>
      </c>
      <c r="E22">
        <f>D21+D13</f>
        <v/>
      </c>
    </row>
    <row r="23">
      <c r="A23" t="inlineStr">
        <is>
          <t>Total Equity</t>
        </is>
      </c>
      <c r="B23" s="5" t="n">
        <v>775340</v>
      </c>
      <c r="C23">
        <f>B20+B21</f>
        <v/>
      </c>
      <c r="D23">
        <f>C20+C21</f>
        <v/>
      </c>
      <c r="E23">
        <f>D20+D21</f>
        <v/>
      </c>
    </row>
  </sheetData>
  <mergeCells count="2">
    <mergeCell ref="A3:F3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50" customWidth="1" min="1" max="1"/>
    <col width="40" customWidth="1" min="3" max="3"/>
  </cols>
  <sheetData>
    <row r="1">
      <c r="A1" s="1" t="inlineStr">
        <is>
          <t>WhichKraft Financial Analysis Summary</t>
        </is>
      </c>
    </row>
    <row r="3"/>
    <row r="4">
      <c r="A4" s="8" t="inlineStr">
        <is>
          <t>KEY FINDINGS FROM Q1 2014:</t>
        </is>
      </c>
    </row>
    <row r="5"/>
    <row r="6">
      <c r="A6" t="inlineStr">
        <is>
          <t>1. Critical Issue: SG&amp;A at 197.8% of sales</t>
        </is>
      </c>
      <c r="C6" t="inlineStr">
        <is>
          <t>SG&amp;A (Rs 279,554) is nearly 2x revenue (Rs 141,350)</t>
        </is>
      </c>
    </row>
    <row r="7">
      <c r="A7" t="inlineStr">
        <is>
          <t>2. Cash Runway: 2.8 quarters</t>
        </is>
      </c>
      <c r="C7" t="inlineStr">
        <is>
          <t>At current burn rate of Rs 224,660/quarter</t>
        </is>
      </c>
    </row>
    <row r="8">
      <c r="A8" t="inlineStr">
        <is>
          <t>3. Breakeven Requirement</t>
        </is>
      </c>
      <c r="C8" t="inlineStr">
        <is>
          <t>Need 5.1x sales increase to breakeven</t>
        </is>
      </c>
    </row>
    <row r="9">
      <c r="A9" t="inlineStr">
        <is>
          <t>4. Positive: Decent gross margin</t>
        </is>
      </c>
      <c r="C9" t="inlineStr">
        <is>
          <t>38.8% gross margin before SG&amp;A</t>
        </is>
      </c>
    </row>
    <row r="10">
      <c r="A10" t="inlineStr">
        <is>
          <t>5. Positive: Clean balance sheet</t>
        </is>
      </c>
      <c r="C10" t="inlineStr">
        <is>
          <t>No debt, Rs 628K cash, asset-light model</t>
        </is>
      </c>
    </row>
    <row r="11"/>
    <row r="12">
      <c r="A12" s="8" t="inlineStr">
        <is>
          <t>SENSITIVITY ANALYSIS IMPACT:</t>
        </is>
      </c>
    </row>
    <row r="13"/>
    <row r="14">
      <c r="A14" t="inlineStr">
        <is>
          <t>If COGS increases to 35% AND 70-day receivables:</t>
        </is>
      </c>
    </row>
    <row r="15">
      <c r="A15" t="inlineStr">
        <is>
          <t>- Gross margin drops from 38.8% to 32.6%</t>
        </is>
      </c>
      <c r="C15" t="inlineStr">
        <is>
          <t>(-6.2 percentage points)</t>
        </is>
      </c>
    </row>
    <row r="16">
      <c r="A16" t="inlineStr">
        <is>
          <t>- Cash locked in receivables</t>
        </is>
      </c>
      <c r="C16" t="inlineStr">
        <is>
          <t>~Rs 108K on annualized Q1 sales</t>
        </is>
      </c>
    </row>
    <row r="17">
      <c r="A17" t="inlineStr">
        <is>
          <t>- Total cash impact</t>
        </is>
      </c>
      <c r="C17" t="inlineStr">
        <is>
          <t>Rs 117K worse per quarter</t>
        </is>
      </c>
    </row>
    <row r="18">
      <c r="A18" t="inlineStr">
        <is>
          <t>- Makes profitability path much harder</t>
        </is>
      </c>
    </row>
    <row r="19"/>
    <row r="20">
      <c r="A20" s="8" t="inlineStr">
        <is>
          <t>STRATEGIC RECOMMENDATION:</t>
        </is>
      </c>
    </row>
    <row r="21"/>
    <row r="22">
      <c r="A22" t="inlineStr">
        <is>
          <t>MODIFY STRATEGY IMMEDIATELY:</t>
        </is>
      </c>
    </row>
    <row r="23">
      <c r="A23" t="inlineStr">
        <is>
          <t>1. Cut SG&amp;A by 40%</t>
        </is>
      </c>
      <c r="C23" t="inlineStr">
        <is>
          <t>From Rs 280K to Rs 180K per quarter</t>
        </is>
      </c>
    </row>
    <row r="24">
      <c r="A24" t="inlineStr">
        <is>
          <t>2. Focus on revenue growth</t>
        </is>
      </c>
      <c r="C24" t="inlineStr">
        <is>
          <t>Need 3-5x growth in first year</t>
        </is>
      </c>
    </row>
    <row r="25">
      <c r="A25" t="inlineStr">
        <is>
          <t>3. Prove unit economics</t>
        </is>
      </c>
      <c r="C25" t="inlineStr">
        <is>
          <t>CAC:LTV ratio of 1:3 or better</t>
        </is>
      </c>
    </row>
    <row r="26">
      <c r="A26" t="inlineStr">
        <is>
          <t>4. Secure seed funding</t>
        </is>
      </c>
      <c r="C26" t="inlineStr">
        <is>
          <t>Rs 500-750K within 6 months</t>
        </is>
      </c>
    </row>
    <row r="27"/>
    <row r="28">
      <c r="A28" t="inlineStr">
        <is>
          <t>DO NOT pursue sensitivity scenario (35% COGS + 70d AR) unless:</t>
        </is>
      </c>
    </row>
    <row r="29">
      <c r="A29" t="inlineStr">
        <is>
          <t>- Funding secured first (Rs 1.5M minimum)</t>
        </is>
      </c>
    </row>
    <row r="30">
      <c r="A30" t="inlineStr">
        <is>
          <t>- Premium pricing justifies higher COGS</t>
        </is>
      </c>
    </row>
    <row r="31">
      <c r="A31" t="inlineStr">
        <is>
          <t>- Can maintain 40%+ gross margin</t>
        </is>
      </c>
    </row>
    <row r="32"/>
    <row r="33">
      <c r="A33" s="8" t="inlineStr">
        <is>
          <t>TIMELINE:</t>
        </is>
      </c>
    </row>
    <row r="34">
      <c r="A34" t="inlineStr">
        <is>
          <t>Months 1-3: Cut costs, extend runway to 12-15 months</t>
        </is>
      </c>
    </row>
    <row r="35">
      <c r="A35" t="inlineStr">
        <is>
          <t>Months 3-6: Prove concept, demonstrate traction</t>
        </is>
      </c>
    </row>
    <row r="36">
      <c r="A36" t="inlineStr">
        <is>
          <t>Month 6: Close seed funding round</t>
        </is>
      </c>
    </row>
    <row r="37">
      <c r="A37" t="inlineStr">
        <is>
          <t>Months 6-18: Scale with discipline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Common-Sized Financial Statements</t>
        </is>
      </c>
    </row>
    <row r="3">
      <c r="A3" s="2" t="inlineStr">
        <is>
          <t>COMMON-SIZED INCOME STATEMENT (% of Sales)</t>
        </is>
      </c>
    </row>
    <row r="4">
      <c r="A4" s="3" t="inlineStr">
        <is>
          <t>Line Item</t>
        </is>
      </c>
      <c r="B4" s="3" t="inlineStr">
        <is>
          <t>Q1 2014</t>
        </is>
      </c>
      <c r="C4" s="3" t="inlineStr">
        <is>
          <t>2014-15</t>
        </is>
      </c>
      <c r="D4" s="3" t="inlineStr">
        <is>
          <t>2015-16</t>
        </is>
      </c>
      <c r="E4" s="3" t="inlineStr">
        <is>
          <t>2016-17</t>
        </is>
      </c>
    </row>
    <row r="5">
      <c r="A5" t="inlineStr">
        <is>
          <t>Net Sales</t>
        </is>
      </c>
      <c r="B5" t="inlineStr">
        <is>
          <t>100.0%</t>
        </is>
      </c>
      <c r="C5" t="inlineStr">
        <is>
          <t>100.0%</t>
        </is>
      </c>
      <c r="D5" t="inlineStr">
        <is>
          <t>100.0%</t>
        </is>
      </c>
      <c r="E5" t="inlineStr">
        <is>
          <t>100.0%</t>
        </is>
      </c>
    </row>
    <row r="6">
      <c r="A6" t="inlineStr">
        <is>
          <t>COGS</t>
        </is>
      </c>
      <c r="B6" t="inlineStr">
        <is>
          <t>28.7%</t>
        </is>
      </c>
      <c r="C6" t="inlineStr"/>
      <c r="D6" t="inlineStr"/>
      <c r="E6" t="inlineStr"/>
    </row>
    <row r="7">
      <c r="A7" t="inlineStr">
        <is>
          <t>Other Direct Expenses</t>
        </is>
      </c>
      <c r="B7" t="inlineStr">
        <is>
          <t>32.4%</t>
        </is>
      </c>
      <c r="C7" t="inlineStr"/>
      <c r="D7" t="inlineStr"/>
      <c r="E7" t="inlineStr"/>
    </row>
    <row r="8">
      <c r="A8" t="inlineStr">
        <is>
          <t>Gross Profit</t>
        </is>
      </c>
      <c r="B8" t="inlineStr">
        <is>
          <t>38.8%</t>
        </is>
      </c>
      <c r="C8" t="inlineStr"/>
      <c r="D8" t="inlineStr"/>
      <c r="E8" t="inlineStr"/>
    </row>
    <row r="9">
      <c r="A9" t="inlineStr">
        <is>
          <t>SG&amp;A Expenses</t>
        </is>
      </c>
      <c r="B9" t="inlineStr">
        <is>
          <t>197.8%</t>
        </is>
      </c>
      <c r="C9" t="inlineStr"/>
      <c r="D9" t="inlineStr"/>
      <c r="E9" t="inlineStr"/>
    </row>
    <row r="10">
      <c r="A10" t="inlineStr">
        <is>
          <t>EBIT Margin</t>
        </is>
      </c>
      <c r="B10" t="inlineStr">
        <is>
          <t>-158.9%</t>
        </is>
      </c>
      <c r="C10" t="inlineStr"/>
      <c r="D10" t="inlineStr"/>
      <c r="E10" t="inlineStr"/>
    </row>
    <row r="11">
      <c r="A11" t="inlineStr">
        <is>
          <t>Net Margin</t>
        </is>
      </c>
      <c r="B11" t="inlineStr">
        <is>
          <t>-158.9%</t>
        </is>
      </c>
      <c r="C11" t="inlineStr"/>
      <c r="D11" t="inlineStr"/>
      <c r="E11" t="inlineStr"/>
    </row>
    <row r="14">
      <c r="A14" s="2" t="inlineStr">
        <is>
          <t>COMMON-SIZED BALANCE SHEET (% of Total Assets)</t>
        </is>
      </c>
    </row>
    <row r="15">
      <c r="A15" s="3" t="inlineStr">
        <is>
          <t>Line Item</t>
        </is>
      </c>
      <c r="B15" s="3" t="inlineStr">
        <is>
          <t>Q1 2014</t>
        </is>
      </c>
      <c r="C15" s="3" t="inlineStr">
        <is>
          <t>2014-15</t>
        </is>
      </c>
      <c r="D15" s="3" t="inlineStr">
        <is>
          <t>2015-16</t>
        </is>
      </c>
      <c r="E15" s="3" t="inlineStr">
        <is>
          <t>2016-17</t>
        </is>
      </c>
    </row>
    <row r="16">
      <c r="A16" t="inlineStr">
        <is>
          <t>Website/IP</t>
        </is>
      </c>
      <c r="B16" t="inlineStr">
        <is>
          <t>16.2%</t>
        </is>
      </c>
      <c r="C16" t="inlineStr"/>
      <c r="D16" t="inlineStr"/>
      <c r="E16" t="inlineStr"/>
    </row>
    <row r="17">
      <c r="A17" t="inlineStr">
        <is>
          <t>Inventory</t>
        </is>
      </c>
      <c r="B17" t="inlineStr">
        <is>
          <t>2.7%</t>
        </is>
      </c>
      <c r="C17" t="inlineStr"/>
      <c r="D17" t="inlineStr"/>
      <c r="E17" t="inlineStr"/>
    </row>
    <row r="18">
      <c r="A18" t="inlineStr">
        <is>
          <t>Cash</t>
        </is>
      </c>
      <c r="B18" t="inlineStr">
        <is>
          <t>81.0%</t>
        </is>
      </c>
      <c r="C18" t="inlineStr"/>
      <c r="D18" t="inlineStr"/>
      <c r="E18" t="inlineStr"/>
    </row>
    <row r="19">
      <c r="A19" t="inlineStr">
        <is>
          <t>Total Assets</t>
        </is>
      </c>
      <c r="B19" t="inlineStr">
        <is>
          <t>100.0%</t>
        </is>
      </c>
      <c r="C19" t="inlineStr">
        <is>
          <t>100.0%</t>
        </is>
      </c>
      <c r="D19" t="inlineStr">
        <is>
          <t>100.0%</t>
        </is>
      </c>
      <c r="E19" t="inlineStr">
        <is>
          <t>100.0%</t>
        </is>
      </c>
    </row>
    <row r="20">
      <c r="A20" t="inlineStr"/>
      <c r="B20" t="inlineStr"/>
      <c r="C20" t="inlineStr"/>
      <c r="D20" t="inlineStr"/>
      <c r="E20" t="inlineStr"/>
    </row>
    <row r="21">
      <c r="A21" t="inlineStr">
        <is>
          <t>Paid Capital (% of TA)</t>
        </is>
      </c>
      <c r="B21" t="inlineStr">
        <is>
          <t>129.0%</t>
        </is>
      </c>
      <c r="C21" t="inlineStr"/>
      <c r="D21" t="inlineStr"/>
      <c r="E21" t="inlineStr"/>
    </row>
    <row r="22">
      <c r="A22" t="inlineStr">
        <is>
          <t>Retained Earnings (% of TA)</t>
        </is>
      </c>
      <c r="B22" t="inlineStr">
        <is>
          <t>-29.0%</t>
        </is>
      </c>
      <c r="C22" t="inlineStr"/>
      <c r="D22" t="inlineStr"/>
      <c r="E22" t="inlineStr"/>
    </row>
    <row r="23">
      <c r="A23" t="inlineStr">
        <is>
          <t>Total Equity (% of TA)</t>
        </is>
      </c>
      <c r="B23" t="inlineStr">
        <is>
          <t>100.0%</t>
        </is>
      </c>
      <c r="C23" t="inlineStr"/>
      <c r="D23" t="inlineStr"/>
      <c r="E23" t="inlineStr"/>
    </row>
  </sheetData>
  <mergeCells count="3">
    <mergeCell ref="A14:E14"/>
    <mergeCell ref="A1:E1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Financial Ratios &amp; Key Performance Indicators</t>
        </is>
      </c>
    </row>
    <row r="3">
      <c r="A3" s="2" t="inlineStr">
        <is>
          <t>PROFITABILITY RATIOS</t>
        </is>
      </c>
    </row>
    <row r="4">
      <c r="A4" s="3" t="inlineStr">
        <is>
          <t>Ratio</t>
        </is>
      </c>
      <c r="B4" s="3" t="inlineStr">
        <is>
          <t>Q1 2014</t>
        </is>
      </c>
      <c r="C4" s="3" t="inlineStr">
        <is>
          <t>2014-15</t>
        </is>
      </c>
      <c r="D4" s="3" t="inlineStr">
        <is>
          <t>2015-16</t>
        </is>
      </c>
      <c r="E4" s="3" t="inlineStr">
        <is>
          <t>2016-17</t>
        </is>
      </c>
    </row>
    <row r="5">
      <c r="A5" t="inlineStr">
        <is>
          <t>Gross Profit Margin</t>
        </is>
      </c>
      <c r="B5" t="inlineStr">
        <is>
          <t>38.8%</t>
        </is>
      </c>
      <c r="C5" t="inlineStr"/>
      <c r="D5" t="inlineStr"/>
      <c r="E5" t="inlineStr"/>
    </row>
    <row r="6">
      <c r="A6" t="inlineStr">
        <is>
          <t>Operating Margin (EBIT)</t>
        </is>
      </c>
      <c r="B6" t="inlineStr">
        <is>
          <t>-158.9%</t>
        </is>
      </c>
      <c r="C6" t="inlineStr"/>
      <c r="D6" t="inlineStr"/>
      <c r="E6" t="inlineStr"/>
    </row>
    <row r="7">
      <c r="A7" t="inlineStr">
        <is>
          <t>Net Profit Margin</t>
        </is>
      </c>
      <c r="B7" t="inlineStr">
        <is>
          <t>-158.9%</t>
        </is>
      </c>
      <c r="C7" t="inlineStr"/>
      <c r="D7" t="inlineStr"/>
      <c r="E7" t="inlineStr"/>
    </row>
    <row r="8">
      <c r="A8" t="inlineStr">
        <is>
          <t>Return on Assets (ROA)</t>
        </is>
      </c>
      <c r="B8" t="inlineStr">
        <is>
          <t>-29.0%</t>
        </is>
      </c>
      <c r="C8" t="inlineStr"/>
      <c r="D8" t="inlineStr"/>
      <c r="E8" t="inlineStr"/>
    </row>
    <row r="9">
      <c r="A9" t="inlineStr">
        <is>
          <t>Return on Equity (ROE)</t>
        </is>
      </c>
      <c r="B9" t="inlineStr">
        <is>
          <t>-29.0%</t>
        </is>
      </c>
      <c r="C9" t="inlineStr"/>
      <c r="D9" t="inlineStr"/>
      <c r="E9" t="inlineStr"/>
    </row>
    <row r="11">
      <c r="A11" s="2" t="inlineStr">
        <is>
          <t>LIQUIDITY &amp; EFFICIENCY RATIOS</t>
        </is>
      </c>
    </row>
    <row r="12">
      <c r="A12" s="3" t="inlineStr">
        <is>
          <t>Ratio</t>
        </is>
      </c>
      <c r="B12" s="3" t="inlineStr">
        <is>
          <t>Q1 2014</t>
        </is>
      </c>
      <c r="C12" s="3" t="inlineStr">
        <is>
          <t>2014-15</t>
        </is>
      </c>
      <c r="D12" s="3" t="inlineStr">
        <is>
          <t>2015-16</t>
        </is>
      </c>
      <c r="E12" s="3" t="inlineStr">
        <is>
          <t>2016-17</t>
        </is>
      </c>
    </row>
    <row r="13">
      <c r="A13" t="inlineStr">
        <is>
          <t>Current Ratio</t>
        </is>
      </c>
      <c r="B13" t="inlineStr">
        <is>
          <t>N/A (no liab)</t>
        </is>
      </c>
      <c r="C13" t="inlineStr"/>
      <c r="D13" t="inlineStr"/>
      <c r="E13" t="inlineStr"/>
    </row>
    <row r="14">
      <c r="A14" t="inlineStr">
        <is>
          <t>Cash Ratio</t>
        </is>
      </c>
      <c r="B14" t="inlineStr">
        <is>
          <t>N/A (no liab)</t>
        </is>
      </c>
      <c r="C14" t="inlineStr"/>
      <c r="D14" t="inlineStr"/>
      <c r="E14" t="inlineStr"/>
    </row>
    <row r="15">
      <c r="A15" t="inlineStr">
        <is>
          <t>Days Inventory</t>
        </is>
      </c>
      <c r="B15" t="inlineStr">
        <is>
          <t>54 days</t>
        </is>
      </c>
      <c r="C15" t="inlineStr"/>
      <c r="D15" t="inlineStr"/>
      <c r="E15" t="inlineStr"/>
    </row>
    <row r="16">
      <c r="A16" t="inlineStr">
        <is>
          <t>Days Receivables</t>
        </is>
      </c>
      <c r="B16" t="inlineStr">
        <is>
          <t>0 days</t>
        </is>
      </c>
      <c r="C16" t="inlineStr"/>
      <c r="D16" t="inlineStr"/>
      <c r="E16" t="inlineStr"/>
    </row>
    <row r="17">
      <c r="A17" t="inlineStr">
        <is>
          <t>Cash Conversion Cycle</t>
        </is>
      </c>
      <c r="B17" t="inlineStr">
        <is>
          <t>54 days</t>
        </is>
      </c>
      <c r="C17" t="inlineStr"/>
      <c r="D17" t="inlineStr"/>
      <c r="E17" t="inlineStr"/>
    </row>
    <row r="18">
      <c r="A18" t="inlineStr">
        <is>
          <t>Asset Turnover</t>
        </is>
      </c>
      <c r="B18" t="inlineStr">
        <is>
          <t>0.18x (annualized: 0.73x)</t>
        </is>
      </c>
      <c r="C18" t="inlineStr"/>
      <c r="D18" t="inlineStr"/>
      <c r="E18" t="inlineStr"/>
    </row>
    <row r="20">
      <c r="A20" s="2" t="inlineStr">
        <is>
          <t>CAPITAL STRUCTURE &amp; SOLVENCY</t>
        </is>
      </c>
    </row>
    <row r="21">
      <c r="A21" s="3" t="inlineStr">
        <is>
          <t>Metric</t>
        </is>
      </c>
      <c r="B21" s="3" t="inlineStr">
        <is>
          <t>Q1 2014</t>
        </is>
      </c>
      <c r="C21" s="3" t="inlineStr">
        <is>
          <t>2014-15</t>
        </is>
      </c>
      <c r="D21" s="3" t="inlineStr">
        <is>
          <t>2015-16</t>
        </is>
      </c>
      <c r="E21" s="3" t="inlineStr">
        <is>
          <t>2016-17</t>
        </is>
      </c>
    </row>
    <row r="22">
      <c r="A22" t="inlineStr">
        <is>
          <t>Debt-to-Equity</t>
        </is>
      </c>
      <c r="B22" t="inlineStr">
        <is>
          <t>0%</t>
        </is>
      </c>
      <c r="C22" t="inlineStr"/>
      <c r="D22" t="inlineStr"/>
      <c r="E22" t="inlineStr"/>
    </row>
    <row r="23">
      <c r="A23" t="inlineStr">
        <is>
          <t>Equity Ratio</t>
        </is>
      </c>
      <c r="B23" t="inlineStr">
        <is>
          <t>100%</t>
        </is>
      </c>
      <c r="C23" t="inlineStr"/>
      <c r="D23" t="inlineStr"/>
      <c r="E23" t="inlineStr"/>
    </row>
    <row r="24">
      <c r="A24" t="inlineStr">
        <is>
          <t>Interest Coverage</t>
        </is>
      </c>
      <c r="B24" t="inlineStr">
        <is>
          <t>N/A (no debt)</t>
        </is>
      </c>
      <c r="C24" t="inlineStr"/>
      <c r="D24" t="inlineStr"/>
      <c r="E24" t="inlineStr"/>
    </row>
    <row r="25">
      <c r="A25" t="inlineStr">
        <is>
          <t>Burn Rate (per quarter)</t>
        </is>
      </c>
      <c r="B25" t="inlineStr">
        <is>
          <t>Rs 224,660</t>
        </is>
      </c>
      <c r="C25" t="inlineStr"/>
      <c r="D25" t="inlineStr"/>
      <c r="E25" t="inlineStr"/>
    </row>
    <row r="26">
      <c r="A26" t="inlineStr">
        <is>
          <t>Cash Runway (quarters)</t>
        </is>
      </c>
      <c r="B26" t="inlineStr">
        <is>
          <t>2.8</t>
        </is>
      </c>
      <c r="C26" t="inlineStr"/>
      <c r="D26" t="inlineStr"/>
      <c r="E26" t="inlineStr"/>
    </row>
  </sheetData>
  <mergeCells count="4">
    <mergeCell ref="A11:E11"/>
    <mergeCell ref="A1:E1"/>
    <mergeCell ref="A20:E20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Scenario Analysis: Base vs Sensitivity vs Conservative</t>
        </is>
      </c>
    </row>
    <row r="3">
      <c r="A3" s="2" t="inlineStr">
        <is>
          <t>SCENARIO ASSUMPTIONS</t>
        </is>
      </c>
    </row>
    <row r="4">
      <c r="A4" s="3" t="inlineStr">
        <is>
          <t>Parameter</t>
        </is>
      </c>
      <c r="B4" s="3" t="inlineStr">
        <is>
          <t>Base Case</t>
        </is>
      </c>
      <c r="C4" s="3" t="inlineStr">
        <is>
          <t>Sensitivity</t>
        </is>
      </c>
      <c r="D4" s="3" t="inlineStr">
        <is>
          <t>Conservative</t>
        </is>
      </c>
    </row>
    <row r="5">
      <c r="A5" t="inlineStr">
        <is>
          <t>COGS % of Sales</t>
        </is>
      </c>
      <c r="B5" t="inlineStr">
        <is>
          <t>28.7%</t>
        </is>
      </c>
      <c r="C5" t="inlineStr">
        <is>
          <t>35.0%</t>
        </is>
      </c>
      <c r="D5" t="inlineStr">
        <is>
          <t>28.7%</t>
        </is>
      </c>
    </row>
    <row r="6">
      <c r="A6" t="inlineStr">
        <is>
          <t>Other Direct % of Sales</t>
        </is>
      </c>
      <c r="B6" t="inlineStr">
        <is>
          <t>32.4%</t>
        </is>
      </c>
      <c r="C6" t="inlineStr">
        <is>
          <t>32.4%</t>
        </is>
      </c>
      <c r="D6" t="inlineStr">
        <is>
          <t>32.4%</t>
        </is>
      </c>
    </row>
    <row r="7">
      <c r="A7" t="inlineStr">
        <is>
          <t>Gross Margin</t>
        </is>
      </c>
      <c r="B7" t="inlineStr">
        <is>
          <t>38.8%</t>
        </is>
      </c>
      <c r="C7" t="inlineStr">
        <is>
          <t>32.6%</t>
        </is>
      </c>
      <c r="D7" t="inlineStr">
        <is>
          <t>38.8%</t>
        </is>
      </c>
    </row>
    <row r="8">
      <c r="A8" t="inlineStr">
        <is>
          <t>Receivables Days</t>
        </is>
      </c>
      <c r="B8" t="inlineStr">
        <is>
          <t>0</t>
        </is>
      </c>
      <c r="C8" t="inlineStr">
        <is>
          <t>70</t>
        </is>
      </c>
      <c r="D8" t="inlineStr">
        <is>
          <t>0</t>
        </is>
      </c>
    </row>
    <row r="9">
      <c r="A9" t="inlineStr">
        <is>
          <t>Sales Growth Assumption</t>
        </is>
      </c>
      <c r="B9" t="inlineStr">
        <is>
          <t>User Input</t>
        </is>
      </c>
      <c r="C9" t="inlineStr">
        <is>
          <t>User Input</t>
        </is>
      </c>
      <c r="D9" t="inlineStr">
        <is>
          <t>User Input</t>
        </is>
      </c>
    </row>
    <row r="10">
      <c r="A10" t="inlineStr">
        <is>
          <t>SG&amp;A Growth Assumption</t>
        </is>
      </c>
      <c r="B10" t="inlineStr">
        <is>
          <t>User Input</t>
        </is>
      </c>
      <c r="C10" t="inlineStr">
        <is>
          <t>User Input</t>
        </is>
      </c>
      <c r="D10" t="inlineStr">
        <is>
          <t>User Input</t>
        </is>
      </c>
    </row>
    <row r="12">
      <c r="A12" s="2" t="inlineStr">
        <is>
          <t>COMPARISON TABLE (2016-17 Projected)</t>
        </is>
      </c>
    </row>
    <row r="13">
      <c r="A13" s="3" t="inlineStr">
        <is>
          <t>Metric</t>
        </is>
      </c>
      <c r="B13" s="3" t="inlineStr">
        <is>
          <t>Base Case</t>
        </is>
      </c>
      <c r="C13" s="3" t="inlineStr">
        <is>
          <t>Sensitivity</t>
        </is>
      </c>
      <c r="D13" s="3" t="inlineStr">
        <is>
          <t>Difference</t>
        </is>
      </c>
    </row>
    <row r="14">
      <c r="A14" t="inlineStr">
        <is>
          <t>Revenue</t>
        </is>
      </c>
      <c r="B14" t="inlineStr"/>
      <c r="C14" t="inlineStr"/>
      <c r="D14" t="inlineStr"/>
    </row>
    <row r="15">
      <c r="A15" t="inlineStr">
        <is>
          <t>Gross Profit</t>
        </is>
      </c>
      <c r="B15" t="inlineStr"/>
      <c r="C15" t="inlineStr"/>
      <c r="D15" t="inlineStr"/>
    </row>
    <row r="16">
      <c r="A16" t="inlineStr">
        <is>
          <t>Net Income</t>
        </is>
      </c>
      <c r="B16" t="inlineStr"/>
      <c r="C16" t="inlineStr"/>
      <c r="D16" t="inlineStr"/>
    </row>
    <row r="17">
      <c r="A17" t="inlineStr">
        <is>
          <t>Cash Balance</t>
        </is>
      </c>
      <c r="B17" t="inlineStr"/>
      <c r="C17" t="inlineStr"/>
      <c r="D17" t="inlineStr"/>
    </row>
    <row r="18">
      <c r="A18" t="inlineStr">
        <is>
          <t>Working Capital</t>
        </is>
      </c>
      <c r="B18" t="inlineStr"/>
      <c r="C18" t="inlineStr"/>
      <c r="D18" t="inlineStr"/>
    </row>
    <row r="19">
      <c r="A19" t="inlineStr">
        <is>
          <t>ROE</t>
        </is>
      </c>
      <c r="B19" t="inlineStr"/>
      <c r="C19" t="inlineStr"/>
      <c r="D19" t="inlineStr"/>
    </row>
  </sheetData>
  <mergeCells count="3">
    <mergeCell ref="A1:E1"/>
    <mergeCell ref="A12:E12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External Funding Requirement Analysis</t>
        </is>
      </c>
    </row>
    <row r="3">
      <c r="A3" s="2" t="inlineStr">
        <is>
          <t>CASH FLOW PROJECTION &amp; FUNDING NEEDS</t>
        </is>
      </c>
    </row>
    <row r="4">
      <c r="A4" s="3" t="inlineStr">
        <is>
          <t>Period</t>
        </is>
      </c>
      <c r="B4" s="3" t="inlineStr">
        <is>
          <t>Beginning Cash</t>
        </is>
      </c>
      <c r="C4" s="3" t="inlineStr">
        <is>
          <t>Net Income</t>
        </is>
      </c>
      <c r="D4" s="3" t="inlineStr">
        <is>
          <t>Inv Change</t>
        </is>
      </c>
      <c r="E4" s="3" t="inlineStr">
        <is>
          <t>AR Change</t>
        </is>
      </c>
      <c r="F4" s="3" t="inlineStr">
        <is>
          <t>Ending Cash</t>
        </is>
      </c>
    </row>
    <row r="5">
      <c r="A5" t="inlineStr">
        <is>
          <t>Q1 2014</t>
        </is>
      </c>
      <c r="B5" t="inlineStr">
        <is>
          <t>Rs 628,195</t>
        </is>
      </c>
      <c r="C5" t="inlineStr">
        <is>
          <t>Rs (224,660)</t>
        </is>
      </c>
      <c r="D5" t="inlineStr">
        <is>
          <t>Rs 0</t>
        </is>
      </c>
      <c r="E5" t="inlineStr">
        <is>
          <t>Rs 0</t>
        </is>
      </c>
      <c r="F5" t="inlineStr">
        <is>
          <t>Rs 403,535</t>
        </is>
      </c>
    </row>
    <row r="6">
      <c r="A6" t="inlineStr">
        <is>
          <t>2014-15</t>
        </is>
      </c>
      <c r="B6" t="inlineStr"/>
      <c r="C6" t="inlineStr"/>
      <c r="D6" t="inlineStr"/>
      <c r="E6" t="inlineStr"/>
      <c r="F6" t="inlineStr"/>
    </row>
    <row r="7">
      <c r="A7" t="inlineStr">
        <is>
          <t>2015-16</t>
        </is>
      </c>
      <c r="B7" t="inlineStr"/>
      <c r="C7" t="inlineStr"/>
      <c r="D7" t="inlineStr"/>
      <c r="E7" t="inlineStr"/>
      <c r="F7" t="inlineStr"/>
    </row>
    <row r="8">
      <c r="A8" t="inlineStr">
        <is>
          <t>2016-17</t>
        </is>
      </c>
      <c r="B8" t="inlineStr"/>
      <c r="C8" t="inlineStr"/>
      <c r="D8" t="inlineStr"/>
      <c r="E8" t="inlineStr"/>
      <c r="F8" t="inlineStr"/>
    </row>
    <row r="10">
      <c r="A10" s="2" t="inlineStr">
        <is>
          <t>FUNDING GAP ANALYSIS</t>
        </is>
      </c>
    </row>
    <row r="11">
      <c r="A11" s="3" t="inlineStr">
        <is>
          <t>Analysis</t>
        </is>
      </c>
      <c r="B11" s="3" t="inlineStr">
        <is>
          <t>Base Case</t>
        </is>
      </c>
      <c r="C11" s="3" t="inlineStr">
        <is>
          <t>Sensitivity</t>
        </is>
      </c>
    </row>
    <row r="12">
      <c r="A12" t="inlineStr">
        <is>
          <t>Minimum Cash Required</t>
        </is>
      </c>
      <c r="B12" t="inlineStr">
        <is>
          <t>Rs 100,000</t>
        </is>
      </c>
      <c r="C12" t="inlineStr">
        <is>
          <t>Rs 150,000</t>
        </is>
      </c>
    </row>
    <row r="13">
      <c r="A13" t="inlineStr">
        <is>
          <t>Projected Ending Cash (2014-15)</t>
        </is>
      </c>
      <c r="B13" t="inlineStr"/>
      <c r="C13" t="inlineStr"/>
    </row>
    <row r="14">
      <c r="A14" t="inlineStr">
        <is>
          <t>Funding Gap if negative</t>
        </is>
      </c>
      <c r="B14" t="inlineStr"/>
      <c r="C14" t="inlineStr"/>
    </row>
    <row r="15">
      <c r="A15" t="inlineStr"/>
      <c r="B15" t="inlineStr"/>
      <c r="C15" t="inlineStr"/>
    </row>
    <row r="16">
      <c r="A16" t="inlineStr">
        <is>
          <t>Triggers for External Funding:</t>
        </is>
      </c>
      <c r="B16" t="inlineStr"/>
      <c r="C16" t="inlineStr"/>
    </row>
    <row r="17">
      <c r="A17" t="inlineStr">
        <is>
          <t>1. Cash below Rs 100K</t>
        </is>
      </c>
      <c r="B17" t="inlineStr"/>
      <c r="C17" t="inlineStr"/>
    </row>
    <row r="18">
      <c r="A18" t="inlineStr">
        <is>
          <t>2. Negative cash flow 2 qtrs</t>
        </is>
      </c>
      <c r="B18" t="inlineStr"/>
      <c r="C18" t="inlineStr"/>
    </row>
    <row r="19">
      <c r="A19" t="inlineStr">
        <is>
          <t>3. Working capital &gt; 50% assets</t>
        </is>
      </c>
      <c r="B19" t="inlineStr"/>
      <c r="C19" t="inlineStr"/>
    </row>
    <row r="20">
      <c r="A20" t="inlineStr">
        <is>
          <t>4. Revenue growth &lt; projections</t>
        </is>
      </c>
      <c r="B20" t="inlineStr"/>
      <c r="C20" t="inlineStr"/>
    </row>
    <row r="24">
      <c r="A24" t="inlineStr">
        <is>
          <t>Chart Data: Cash Projection</t>
        </is>
      </c>
      <c r="B24" t="inlineStr">
        <is>
          <t>Base</t>
        </is>
      </c>
      <c r="C24" t="inlineStr">
        <is>
          <t>Sensitivity</t>
        </is>
      </c>
    </row>
    <row r="25">
      <c r="A25" t="inlineStr">
        <is>
          <t>Q1 2014</t>
        </is>
      </c>
      <c r="B25" t="n">
        <v>628195</v>
      </c>
      <c r="C25" t="n">
        <v>628195</v>
      </c>
    </row>
  </sheetData>
  <mergeCells count="3">
    <mergeCell ref="A3:F3"/>
    <mergeCell ref="A1:F1"/>
    <mergeCell ref="A10:F10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Breakeven &amp; Path to Profitability Analysis</t>
        </is>
      </c>
    </row>
    <row r="3">
      <c r="A3" s="2" t="inlineStr">
        <is>
          <t>BREAKEVEN CALCULATION</t>
        </is>
      </c>
    </row>
    <row r="4">
      <c r="A4" s="3" t="inlineStr">
        <is>
          <t>Component</t>
        </is>
      </c>
      <c r="B4" s="3" t="inlineStr">
        <is>
          <t>Base Case</t>
        </is>
      </c>
      <c r="C4" s="3" t="inlineStr">
        <is>
          <t>Sensitivity</t>
        </is>
      </c>
      <c r="D4" s="3" t="inlineStr">
        <is>
          <t>Formula</t>
        </is>
      </c>
    </row>
    <row r="5">
      <c r="A5" t="inlineStr">
        <is>
          <t>Gross Margin %</t>
        </is>
      </c>
      <c r="B5" t="inlineStr">
        <is>
          <t>38.8%</t>
        </is>
      </c>
      <c r="C5" t="inlineStr">
        <is>
          <t>32.6%</t>
        </is>
      </c>
      <c r="D5" t="inlineStr"/>
    </row>
    <row r="6">
      <c r="A6" t="inlineStr">
        <is>
          <t>Fixed Costs (SG&amp;A/qtr)</t>
        </is>
      </c>
      <c r="B6" t="inlineStr">
        <is>
          <t>Rs 279,554</t>
        </is>
      </c>
      <c r="C6" t="inlineStr">
        <is>
          <t>Rs 279,554</t>
        </is>
      </c>
      <c r="D6" t="inlineStr"/>
    </row>
    <row r="7">
      <c r="A7" t="inlineStr">
        <is>
          <t>Breakeven Sales/qtr</t>
        </is>
      </c>
      <c r="B7" t="inlineStr">
        <is>
          <t>Rs 720,500</t>
        </is>
      </c>
      <c r="C7" t="inlineStr">
        <is>
          <t>Rs 2,541,309</t>
        </is>
      </c>
      <c r="D7">
        <f> SG&amp;A / (GM% - Other%)</f>
        <v/>
      </c>
    </row>
    <row r="8">
      <c r="A8" t="inlineStr">
        <is>
          <t>Current Sales/qtr</t>
        </is>
      </c>
      <c r="B8" t="inlineStr">
        <is>
          <t>Rs 141,350</t>
        </is>
      </c>
      <c r="C8" t="inlineStr">
        <is>
          <t>Rs 141,350</t>
        </is>
      </c>
      <c r="D8" t="inlineStr"/>
    </row>
    <row r="9">
      <c r="A9" t="inlineStr">
        <is>
          <t>Required Growth</t>
        </is>
      </c>
      <c r="B9" t="inlineStr">
        <is>
          <t>5.1x</t>
        </is>
      </c>
      <c r="C9" t="inlineStr">
        <is>
          <t>18.0x</t>
        </is>
      </c>
      <c r="D9" t="inlineStr"/>
    </row>
    <row r="11">
      <c r="A11" s="2" t="inlineStr">
        <is>
          <t>PATH TO PROFITABILITY</t>
        </is>
      </c>
    </row>
    <row r="12">
      <c r="A12" s="3" t="inlineStr">
        <is>
          <t>Milestone</t>
        </is>
      </c>
      <c r="B12" s="3" t="inlineStr">
        <is>
          <t>Base Case</t>
        </is>
      </c>
      <c r="C12" s="3" t="inlineStr">
        <is>
          <t>Sensitivity</t>
        </is>
      </c>
      <c r="D12" s="3" t="inlineStr">
        <is>
          <t>Comments</t>
        </is>
      </c>
    </row>
    <row r="13">
      <c r="A13" t="inlineStr">
        <is>
          <t>Breakeven Sales</t>
        </is>
      </c>
      <c r="B13" t="inlineStr">
        <is>
          <t>Rs 720,500/qtr</t>
        </is>
      </c>
      <c r="C13" t="inlineStr">
        <is>
          <t>Rs 2,541,309/qtr</t>
        </is>
      </c>
      <c r="D13" t="inlineStr">
        <is>
          <t>SG&amp;A must be covered</t>
        </is>
      </c>
    </row>
    <row r="14">
      <c r="A14" t="inlineStr">
        <is>
          <t>5% Net Margin</t>
        </is>
      </c>
      <c r="B14" t="inlineStr">
        <is>
          <t>Rs 900,000/qtr</t>
        </is>
      </c>
      <c r="C14" t="inlineStr">
        <is>
          <t>Rs 3,500,000/qtr</t>
        </is>
      </c>
      <c r="D14" t="inlineStr">
        <is>
          <t>Industry standard</t>
        </is>
      </c>
    </row>
    <row r="15">
      <c r="A15" t="inlineStr">
        <is>
          <t>10% Net Margin</t>
        </is>
      </c>
      <c r="B15" t="inlineStr">
        <is>
          <t>Rs 1,200,000/qtr</t>
        </is>
      </c>
      <c r="C15" t="inlineStr">
        <is>
          <t>Rs 5,000,000/qtr</t>
        </is>
      </c>
      <c r="D15" t="inlineStr">
        <is>
          <t>Healthy business</t>
        </is>
      </c>
    </row>
    <row r="16">
      <c r="A16" t="inlineStr"/>
      <c r="B16" t="inlineStr"/>
      <c r="C16" t="inlineStr"/>
      <c r="D16" t="inlineStr"/>
    </row>
    <row r="17">
      <c r="A17" t="inlineStr">
        <is>
          <t>Years to Breakeven:</t>
        </is>
      </c>
      <c r="B17" t="inlineStr"/>
      <c r="C17" t="inlineStr"/>
      <c r="D17" t="inlineStr"/>
    </row>
    <row r="18">
      <c r="A18" t="inlineStr">
        <is>
          <t>At 50% annual growth</t>
        </is>
      </c>
      <c r="B18" t="inlineStr">
        <is>
          <t>~3 years</t>
        </is>
      </c>
      <c r="C18" t="inlineStr">
        <is>
          <t>&gt;5 years</t>
        </is>
      </c>
      <c r="D18" t="inlineStr">
        <is>
          <t>Aggressive</t>
        </is>
      </c>
    </row>
    <row r="19">
      <c r="A19" t="inlineStr">
        <is>
          <t>At 100% annual growth</t>
        </is>
      </c>
      <c r="B19" t="inlineStr">
        <is>
          <t>~2 years</t>
        </is>
      </c>
      <c r="C19" t="inlineStr">
        <is>
          <t>~4 years</t>
        </is>
      </c>
      <c r="D19" t="inlineStr">
        <is>
          <t>Very aggressive</t>
        </is>
      </c>
    </row>
    <row r="20">
      <c r="A20" t="inlineStr">
        <is>
          <t>At 200% annual growth</t>
        </is>
      </c>
      <c r="B20" t="inlineStr">
        <is>
          <t>~1.5 years</t>
        </is>
      </c>
      <c r="C20" t="inlineStr">
        <is>
          <t>~2.5 years</t>
        </is>
      </c>
      <c r="D20" t="inlineStr">
        <is>
          <t>Exceptional</t>
        </is>
      </c>
    </row>
    <row r="24">
      <c r="A24" t="inlineStr">
        <is>
          <t>Sales Level</t>
        </is>
      </c>
      <c r="B24" t="inlineStr">
        <is>
          <t>Base BE</t>
        </is>
      </c>
      <c r="C24" t="inlineStr">
        <is>
          <t>Sens BE</t>
        </is>
      </c>
    </row>
    <row r="25">
      <c r="A25" t="inlineStr">
        <is>
          <t>Current</t>
        </is>
      </c>
      <c r="B25" t="n">
        <v>141350</v>
      </c>
      <c r="C25" t="n">
        <v>141350</v>
      </c>
    </row>
    <row r="26">
      <c r="A26" t="inlineStr">
        <is>
          <t>Required</t>
        </is>
      </c>
      <c r="B26" t="n">
        <v>720500</v>
      </c>
      <c r="C26" t="n">
        <v>2541309</v>
      </c>
    </row>
  </sheetData>
  <mergeCells count="3">
    <mergeCell ref="A11:E11"/>
    <mergeCell ref="A1:E1"/>
    <mergeCell ref="A3:E3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3" max="3"/>
  </cols>
  <sheetData>
    <row r="1">
      <c r="A1" s="1" t="inlineStr">
        <is>
          <t>Key Insights, Patterns &amp; Risk Analysis</t>
        </is>
      </c>
    </row>
    <row r="3">
      <c r="A3" t="inlineStr"/>
    </row>
    <row r="4">
      <c r="A4" s="9" t="inlineStr">
        <is>
          <t>EMERGING PATTERNS FROM FINANCIAL ANALYSIS:</t>
        </is>
      </c>
    </row>
    <row r="5">
      <c r="A5" t="inlineStr"/>
    </row>
    <row r="6">
      <c r="A6" t="inlineStr">
        <is>
          <t>1. Cost Structure Pattern</t>
        </is>
      </c>
      <c r="C6" t="inlineStr">
        <is>
          <t>SG&amp;A dominates - represents 197.8% of sales vs industry norm of 20-40%</t>
        </is>
      </c>
    </row>
    <row r="7">
      <c r="A7" t="inlineStr">
        <is>
          <t>2. Margin Pattern</t>
        </is>
      </c>
      <c r="C7" t="inlineStr">
        <is>
          <t>Decent gross margin (38.8%) suggests product viability</t>
        </is>
      </c>
    </row>
    <row r="8">
      <c r="A8" t="inlineStr">
        <is>
          <t>3. Cash Pattern</t>
        </is>
      </c>
      <c r="C8" t="inlineStr">
        <is>
          <t>Strong initial position but rapid depletion - runway of 2.8 quarters</t>
        </is>
      </c>
    </row>
    <row r="9">
      <c r="A9" t="inlineStr">
        <is>
          <t>4. Capital Pattern</t>
        </is>
      </c>
      <c r="C9" t="inlineStr">
        <is>
          <t>22.5% of equity burned in just 3 months</t>
        </is>
      </c>
    </row>
    <row r="10">
      <c r="A10" t="inlineStr">
        <is>
          <t>5. Working Capital Pattern</t>
        </is>
      </c>
      <c r="C10" t="inlineStr">
        <is>
          <t>Asset-light model (15% inventory) is positive</t>
        </is>
      </c>
    </row>
    <row r="11">
      <c r="A11" t="inlineStr"/>
    </row>
    <row r="12">
      <c r="A12" s="9" t="inlineStr">
        <is>
          <t>KEY RISKS IDENTIFIED:</t>
        </is>
      </c>
    </row>
    <row r="13">
      <c r="A13" t="inlineStr"/>
    </row>
    <row r="14">
      <c r="A14" s="9" t="inlineStr">
        <is>
          <t>HIGH SEVERITY RISKS:</t>
        </is>
      </c>
    </row>
    <row r="15">
      <c r="A15" t="inlineStr">
        <is>
          <t>- Cash runway risk</t>
        </is>
      </c>
      <c r="C15" t="inlineStr">
        <is>
          <t>Will deplete cash in 8-9 months at current burn</t>
        </is>
      </c>
    </row>
    <row r="16">
      <c r="A16" t="inlineStr">
        <is>
          <t>- Operating leverage risk</t>
        </is>
      </c>
      <c r="C16" t="inlineStr">
        <is>
          <t>Fixed costs too high relative to revenue</t>
        </is>
      </c>
    </row>
    <row r="17">
      <c r="A17" t="inlineStr">
        <is>
          <t>- Scale risk</t>
        </is>
      </c>
      <c r="C17" t="inlineStr">
        <is>
          <t>Need 5x growth just to breakeven - extremely aggressive</t>
        </is>
      </c>
    </row>
    <row r="18">
      <c r="A18" t="inlineStr"/>
    </row>
    <row r="19">
      <c r="A19" s="9" t="inlineStr">
        <is>
          <t>MEDIUM SEVERITY RISKS:</t>
        </is>
      </c>
    </row>
    <row r="20">
      <c r="A20" t="inlineStr">
        <is>
          <t>- Market risk</t>
        </is>
      </c>
      <c r="C20" t="inlineStr">
        <is>
          <t>Unproven business model in competitive market</t>
        </is>
      </c>
    </row>
    <row r="21">
      <c r="A21" t="inlineStr">
        <is>
          <t>- Execution risk</t>
        </is>
      </c>
      <c r="C21" t="inlineStr">
        <is>
          <t>Ability to achieve required growth uncertain</t>
        </is>
      </c>
    </row>
    <row r="22">
      <c r="A22" t="inlineStr">
        <is>
          <t>- Working capital risk</t>
        </is>
      </c>
      <c r="C22" t="inlineStr">
        <is>
          <t>Will increase significantly if sensitivity scenario pursued</t>
        </is>
      </c>
    </row>
    <row r="23">
      <c r="A23" t="inlineStr"/>
    </row>
    <row r="24">
      <c r="A24" s="9" t="inlineStr">
        <is>
          <t>LOW SEVERITY RISKS:</t>
        </is>
      </c>
    </row>
    <row r="25">
      <c r="A25" t="inlineStr">
        <is>
          <t>- Financial risk</t>
        </is>
      </c>
      <c r="C25" t="inlineStr">
        <is>
          <t>No debt - clean balance sheet</t>
        </is>
      </c>
    </row>
    <row r="26">
      <c r="A26" t="inlineStr">
        <is>
          <t>- Liquidity risk</t>
        </is>
      </c>
      <c r="C26" t="inlineStr">
        <is>
          <t>Currently liquid but won't last</t>
        </is>
      </c>
    </row>
    <row r="27">
      <c r="A27" t="inlineStr"/>
    </row>
    <row r="28">
      <c r="A28" s="9" t="inlineStr">
        <is>
          <t>SUSTAINABILITY ASSESSMENT:</t>
        </is>
      </c>
    </row>
    <row r="29">
      <c r="A29" t="inlineStr"/>
    </row>
    <row r="30">
      <c r="A30" s="9" t="inlineStr">
        <is>
          <t>Current Path:</t>
        </is>
      </c>
      <c r="C30" t="inlineStr">
        <is>
          <t>NOT SUSTAINABLE</t>
        </is>
      </c>
    </row>
    <row r="31">
      <c r="A31" t="inlineStr">
        <is>
          <t>- Burn rate exhausts cash in 2-3 quarters</t>
        </is>
      </c>
    </row>
    <row r="32">
      <c r="A32" t="inlineStr">
        <is>
          <t>- No clear path to profitability at current trajectory</t>
        </is>
      </c>
    </row>
    <row r="33">
      <c r="A33" t="inlineStr">
        <is>
          <t>- SG&amp;A structure requires massive scale</t>
        </is>
      </c>
    </row>
    <row r="34">
      <c r="A34" t="inlineStr"/>
    </row>
    <row r="35">
      <c r="A35" s="9" t="inlineStr">
        <is>
          <t>Base Case Path:</t>
        </is>
      </c>
      <c r="C35" t="inlineStr">
        <is>
          <t>POTENTIALLY SUSTAINABLE (with execution)</t>
        </is>
      </c>
    </row>
    <row r="36">
      <c r="A36" t="inlineStr">
        <is>
          <t>- IF sales grow 5-10x in 18 months</t>
        </is>
      </c>
    </row>
    <row r="37">
      <c r="A37" t="inlineStr">
        <is>
          <t>- AND SG&amp;A shows operating leverage</t>
        </is>
      </c>
    </row>
    <row r="38">
      <c r="A38" t="inlineStr">
        <is>
          <t>- AND external funding secured</t>
        </is>
      </c>
    </row>
    <row r="39">
      <c r="A39" t="inlineStr"/>
    </row>
    <row r="40">
      <c r="A40" s="9" t="inlineStr">
        <is>
          <t>Sensitivity Path:</t>
        </is>
      </c>
      <c r="C40" t="inlineStr">
        <is>
          <t>NOT RECOMMENDED</t>
        </is>
      </c>
    </row>
    <row r="41">
      <c r="A41" t="inlineStr">
        <is>
          <t>- Gross margin too thin (32.6%)</t>
        </is>
      </c>
    </row>
    <row r="42">
      <c r="A42" t="inlineStr">
        <is>
          <t>- Working capital trap accelerates cash burn</t>
        </is>
      </c>
    </row>
    <row r="43">
      <c r="A43" t="inlineStr">
        <is>
          <t>- Requires 18x sales growth to breakeven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2025-11-02T16:11:02Z</dcterms:created>
  <dcterms:modified xmlns:dcterms="http://purl.org/dc/terms/" xmlns:xsi="http://www.w3.org/2001/XMLSchema-instance" xsi:type="dcterms:W3CDTF">2025-11-02T16:14:13Z</dcterms:modified>
</cp:coreProperties>
</file>