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defaultThemeVersion="124226"/>
  <xr:revisionPtr revIDLastSave="0" documentId="13_ncr:1_{299A71B8-29A5-44FC-8393-5D239C626A00}" xr6:coauthVersionLast="47" xr6:coauthVersionMax="47" xr10:uidLastSave="{00000000-0000-0000-0000-000000000000}"/>
  <bookViews>
    <workbookView xWindow="-90" yWindow="-90" windowWidth="19380" windowHeight="11460" activeTab="1" xr2:uid="{00000000-000D-0000-FFFF-FFFF00000000}"/>
  </bookViews>
  <sheets>
    <sheet name="NOTE" sheetId="4" r:id="rId1"/>
    <sheet name="Income Statement 2013" sheetId="1" r:id="rId2"/>
    <sheet name="Balance Sheet" sheetId="2" r:id="rId3"/>
    <sheet name="Ratios" sheetId="3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44860.3903472222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G17" i="2"/>
  <c r="F17" i="2"/>
  <c r="E17" i="2"/>
  <c r="G8" i="2"/>
  <c r="F8" i="2"/>
  <c r="E8" i="2"/>
  <c r="D18" i="1"/>
  <c r="E18" i="1"/>
  <c r="C23" i="1"/>
  <c r="C21" i="1"/>
  <c r="E7" i="1"/>
  <c r="F7" i="1" s="1"/>
  <c r="C18" i="1"/>
  <c r="D11" i="2"/>
  <c r="D13" i="2"/>
  <c r="D19" i="2"/>
  <c r="D20" i="2"/>
  <c r="D22" i="2"/>
  <c r="E22" i="2"/>
  <c r="G22" i="2"/>
  <c r="F22" i="2"/>
  <c r="G7" i="1" l="1"/>
  <c r="H7" i="1" s="1"/>
  <c r="E21" i="1"/>
  <c r="E23" i="1" s="1"/>
  <c r="F18" i="1"/>
  <c r="D21" i="1"/>
  <c r="D23" i="1" s="1"/>
  <c r="F21" i="1" l="1"/>
  <c r="F23" i="1" s="1"/>
</calcChain>
</file>

<file path=xl/sharedStrings.xml><?xml version="1.0" encoding="utf-8"?>
<sst xmlns="http://schemas.openxmlformats.org/spreadsheetml/2006/main" count="72" uniqueCount="58">
  <si>
    <r>
      <t xml:space="preserve">This spreadsheet supports </t>
    </r>
    <r>
      <rPr>
        <b/>
        <sz val="11"/>
        <color rgb="FFFF0000"/>
        <rFont val="Calibri"/>
        <family val="2"/>
        <scheme val="minor"/>
      </rPr>
      <t>STUDENT</t>
    </r>
    <r>
      <rPr>
        <b/>
        <sz val="11"/>
        <color theme="1"/>
        <rFont val="Calibri"/>
        <family val="2"/>
        <scheme val="minor"/>
      </rPr>
      <t xml:space="preserve"> analysis of the case, WhichKraft</t>
    </r>
  </si>
  <si>
    <t>Sales Assumptions</t>
  </si>
  <si>
    <t>Amount in Rupees</t>
  </si>
  <si>
    <t>1st financial year</t>
  </si>
  <si>
    <t>First Forecast Year</t>
  </si>
  <si>
    <t>Jan 2014 - March 2014</t>
  </si>
  <si>
    <t>April 2014 - June 2014</t>
  </si>
  <si>
    <t>July 2014 - Sept 2014</t>
  </si>
  <si>
    <t>Oct 2014 - Dec 2014</t>
  </si>
  <si>
    <t>Jan 2015 - March 2015</t>
  </si>
  <si>
    <t>Total Sales for 2nd year</t>
  </si>
  <si>
    <t>3 months</t>
  </si>
  <si>
    <t>Net Sales</t>
  </si>
  <si>
    <t>Exhibit 4</t>
  </si>
  <si>
    <t>Income Statement for WhichKraft.com</t>
  </si>
  <si>
    <t>Projections</t>
  </si>
  <si>
    <t>2014 - 2015</t>
  </si>
  <si>
    <t>2015-2016</t>
  </si>
  <si>
    <t>2016-2017</t>
  </si>
  <si>
    <t>Less:COGS</t>
  </si>
  <si>
    <t>Less: Other Direct Expenses</t>
  </si>
  <si>
    <t>Gross Profit</t>
  </si>
  <si>
    <t>SG&amp;A Expenses</t>
  </si>
  <si>
    <t>EBIT</t>
  </si>
  <si>
    <t>Income Taxes</t>
  </si>
  <si>
    <t>Profit/Loss After Tax</t>
  </si>
  <si>
    <t>Exhibit 5</t>
  </si>
  <si>
    <t>Balance Sheett for WhichKraft.com</t>
  </si>
  <si>
    <t>Cash balance estimate</t>
  </si>
  <si>
    <t>Comments</t>
  </si>
  <si>
    <t>Assets</t>
  </si>
  <si>
    <t>All operations are in Cash</t>
  </si>
  <si>
    <t>Beginning cash</t>
  </si>
  <si>
    <t>Web Site, IP rights</t>
  </si>
  <si>
    <t>Net income</t>
  </si>
  <si>
    <t>Inventory</t>
  </si>
  <si>
    <t>15% of Sales for the next 3 years</t>
  </si>
  <si>
    <t>Change in Inventory</t>
  </si>
  <si>
    <t>Cash</t>
  </si>
  <si>
    <t>Ending cash</t>
  </si>
  <si>
    <t>Current Assets</t>
  </si>
  <si>
    <t>Total Assets</t>
  </si>
  <si>
    <t>Liailities and Equity</t>
  </si>
  <si>
    <t>Paid up capital</t>
  </si>
  <si>
    <t>Profit / Loss</t>
  </si>
  <si>
    <t>Total Shareholder's Equity</t>
  </si>
  <si>
    <t>Total Liabilities &amp; Equity</t>
  </si>
  <si>
    <t>Balance</t>
  </si>
  <si>
    <t>Ratios</t>
  </si>
  <si>
    <t>Return on sales</t>
  </si>
  <si>
    <t>Asset Turnover</t>
  </si>
  <si>
    <t>Asset Management</t>
  </si>
  <si>
    <t>Days Inventory</t>
  </si>
  <si>
    <t>Profitability Ratios</t>
  </si>
  <si>
    <t>Gross Profit Margin</t>
  </si>
  <si>
    <t>Operating Margin</t>
  </si>
  <si>
    <t>Profit Margin</t>
  </si>
  <si>
    <t>Return on Total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</si>
</sst>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 [$₹-4009]\ * #,##0.00_ ;_ [$₹-4009]\ * \-#,##0.00_ ;_ [$₹-4009]\ * &quot;-&quot;??_ ;_ @_ "/>
    <numFmt numFmtId="166" formatCode="0.000%"/>
    <numFmt numFmtId="167" formatCode="0.0%"/>
    <numFmt numFmtId="168" formatCode="0.0000"/>
    <numFmt numFmtId="169" formatCode="_(* #,##0_);_(* \(#,##0\);_(* &quot;-&quot;??_);_(@_)"/>
    <numFmt numFmtId="170" formatCode="_ [$₹-4009]\ * #,##0_ ;_ [$₹-4009]\ * \-#,##0_ ;_ [$₹-4009]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/>
    <xf numFmtId="165" fontId="0" fillId="0" borderId="0" xfId="0" applyNumberFormat="1"/>
    <xf numFmtId="9" fontId="0" fillId="0" borderId="0" xfId="1" applyFont="1"/>
    <xf numFmtId="10" fontId="0" fillId="0" borderId="0" xfId="1" applyNumberFormat="1" applyFont="1"/>
    <xf numFmtId="166" fontId="0" fillId="0" borderId="0" xfId="1" applyNumberFormat="1" applyFont="1"/>
    <xf numFmtId="165" fontId="2" fillId="0" borderId="0" xfId="0" applyNumberFormat="1" applyFont="1"/>
    <xf numFmtId="3" fontId="0" fillId="0" borderId="0" xfId="0" applyNumberFormat="1"/>
    <xf numFmtId="165" fontId="2" fillId="0" borderId="1" xfId="0" applyNumberFormat="1" applyFont="1" applyBorder="1"/>
    <xf numFmtId="0" fontId="3" fillId="0" borderId="2" xfId="0" applyFont="1" applyBorder="1"/>
    <xf numFmtId="165" fontId="0" fillId="0" borderId="3" xfId="0" applyNumberFormat="1" applyBorder="1"/>
    <xf numFmtId="165" fontId="0" fillId="0" borderId="4" xfId="0" applyNumberFormat="1" applyBorder="1"/>
    <xf numFmtId="0" fontId="3" fillId="0" borderId="5" xfId="0" applyFont="1" applyBorder="1"/>
    <xf numFmtId="0" fontId="2" fillId="0" borderId="5" xfId="0" applyFont="1" applyBorder="1"/>
    <xf numFmtId="0" fontId="0" fillId="0" borderId="5" xfId="0" applyBorder="1"/>
    <xf numFmtId="0" fontId="2" fillId="0" borderId="7" xfId="0" applyFont="1" applyBorder="1"/>
    <xf numFmtId="0" fontId="2" fillId="0" borderId="9" xfId="0" applyFont="1" applyBorder="1"/>
    <xf numFmtId="165" fontId="2" fillId="0" borderId="10" xfId="0" applyNumberFormat="1" applyFont="1" applyBorder="1"/>
    <xf numFmtId="165" fontId="0" fillId="2" borderId="0" xfId="0" applyNumberFormat="1" applyFill="1"/>
    <xf numFmtId="165" fontId="0" fillId="2" borderId="6" xfId="0" applyNumberFormat="1" applyFill="1" applyBorder="1"/>
    <xf numFmtId="0" fontId="2" fillId="2" borderId="0" xfId="0" applyFont="1" applyFill="1"/>
    <xf numFmtId="165" fontId="2" fillId="2" borderId="0" xfId="0" applyNumberFormat="1" applyFont="1" applyFill="1"/>
    <xf numFmtId="3" fontId="2" fillId="0" borderId="10" xfId="0" applyNumberFormat="1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2" borderId="0" xfId="0" applyFill="1"/>
    <xf numFmtId="0" fontId="0" fillId="2" borderId="6" xfId="0" applyFill="1" applyBorder="1"/>
    <xf numFmtId="3" fontId="0" fillId="2" borderId="0" xfId="0" applyNumberFormat="1" applyFill="1"/>
    <xf numFmtId="3" fontId="0" fillId="2" borderId="6" xfId="0" applyNumberFormat="1" applyFill="1" applyBorder="1"/>
    <xf numFmtId="0" fontId="2" fillId="2" borderId="1" xfId="0" applyFont="1" applyFill="1" applyBorder="1"/>
    <xf numFmtId="0" fontId="2" fillId="2" borderId="8" xfId="0" applyFont="1" applyFill="1" applyBorder="1"/>
    <xf numFmtId="3" fontId="2" fillId="2" borderId="10" xfId="0" applyNumberFormat="1" applyFont="1" applyFill="1" applyBorder="1"/>
    <xf numFmtId="3" fontId="2" fillId="2" borderId="11" xfId="0" applyNumberFormat="1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3" xfId="0" applyFont="1" applyFill="1" applyBorder="1"/>
    <xf numFmtId="165" fontId="2" fillId="2" borderId="13" xfId="0" applyNumberFormat="1" applyFont="1" applyFill="1" applyBorder="1"/>
    <xf numFmtId="165" fontId="2" fillId="2" borderId="12" xfId="0" applyNumberFormat="1" applyFont="1" applyFill="1" applyBorder="1"/>
    <xf numFmtId="9" fontId="0" fillId="0" borderId="0" xfId="0" applyNumberFormat="1"/>
    <xf numFmtId="0" fontId="4" fillId="0" borderId="5" xfId="2" applyBorder="1"/>
    <xf numFmtId="0" fontId="0" fillId="0" borderId="14" xfId="0" applyBorder="1"/>
    <xf numFmtId="0" fontId="2" fillId="0" borderId="17" xfId="0" applyFont="1" applyBorder="1"/>
    <xf numFmtId="0" fontId="2" fillId="2" borderId="18" xfId="0" applyFont="1" applyFill="1" applyBorder="1"/>
    <xf numFmtId="165" fontId="2" fillId="2" borderId="18" xfId="0" applyNumberFormat="1" applyFont="1" applyFill="1" applyBorder="1"/>
    <xf numFmtId="165" fontId="2" fillId="2" borderId="19" xfId="0" applyNumberFormat="1" applyFont="1" applyFill="1" applyBorder="1"/>
    <xf numFmtId="0" fontId="2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165" fontId="2" fillId="0" borderId="13" xfId="0" applyNumberFormat="1" applyFont="1" applyBorder="1"/>
    <xf numFmtId="168" fontId="0" fillId="2" borderId="0" xfId="1" applyNumberFormat="1" applyFont="1" applyFill="1" applyBorder="1"/>
    <xf numFmtId="2" fontId="0" fillId="2" borderId="0" xfId="0" applyNumberFormat="1" applyFill="1"/>
    <xf numFmtId="167" fontId="0" fillId="2" borderId="0" xfId="1" applyNumberFormat="1" applyFont="1" applyFill="1" applyBorder="1"/>
    <xf numFmtId="10" fontId="0" fillId="2" borderId="15" xfId="1" applyNumberFormat="1" applyFont="1" applyFill="1" applyBorder="1"/>
    <xf numFmtId="167" fontId="1" fillId="2" borderId="0" xfId="1" applyNumberFormat="1" applyFont="1" applyFill="1" applyBorder="1"/>
    <xf numFmtId="168" fontId="1" fillId="2" borderId="0" xfId="1" applyNumberFormat="1" applyFont="1" applyFill="1" applyBorder="1"/>
    <xf numFmtId="10" fontId="0" fillId="2" borderId="0" xfId="1" applyNumberFormat="1" applyFont="1" applyFill="1" applyBorder="1"/>
    <xf numFmtId="0" fontId="2" fillId="0" borderId="3" xfId="0" applyFont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2" fillId="5" borderId="13" xfId="0" applyFont="1" applyFill="1" applyBorder="1" applyAlignment="1">
      <alignment horizontal="right"/>
    </xf>
    <xf numFmtId="165" fontId="2" fillId="5" borderId="13" xfId="0" applyNumberFormat="1" applyFont="1" applyFill="1" applyBorder="1" applyAlignment="1">
      <alignment horizontal="right"/>
    </xf>
    <xf numFmtId="165" fontId="2" fillId="5" borderId="12" xfId="0" applyNumberFormat="1" applyFont="1" applyFill="1" applyBorder="1" applyAlignment="1">
      <alignment horizontal="right"/>
    </xf>
    <xf numFmtId="0" fontId="0" fillId="5" borderId="20" xfId="0" applyFill="1" applyBorder="1"/>
    <xf numFmtId="169" fontId="0" fillId="5" borderId="13" xfId="3" applyNumberFormat="1" applyFont="1" applyFill="1" applyBorder="1"/>
    <xf numFmtId="169" fontId="0" fillId="5" borderId="12" xfId="3" applyNumberFormat="1" applyFont="1" applyFill="1" applyBorder="1"/>
    <xf numFmtId="169" fontId="0" fillId="5" borderId="0" xfId="3" applyNumberFormat="1" applyFont="1" applyFill="1" applyBorder="1"/>
    <xf numFmtId="169" fontId="0" fillId="5" borderId="6" xfId="3" applyNumberFormat="1" applyFont="1" applyFill="1" applyBorder="1"/>
    <xf numFmtId="0" fontId="0" fillId="5" borderId="14" xfId="0" applyFill="1" applyBorder="1"/>
    <xf numFmtId="9" fontId="0" fillId="5" borderId="15" xfId="1" applyFont="1" applyFill="1" applyBorder="1"/>
    <xf numFmtId="0" fontId="0" fillId="5" borderId="16" xfId="0" applyFill="1" applyBorder="1"/>
    <xf numFmtId="0" fontId="2" fillId="2" borderId="13" xfId="0" applyFont="1" applyFill="1" applyBorder="1" applyAlignment="1">
      <alignment horizontal="right"/>
    </xf>
    <xf numFmtId="165" fontId="2" fillId="2" borderId="13" xfId="0" applyNumberFormat="1" applyFont="1" applyFill="1" applyBorder="1" applyAlignment="1">
      <alignment horizontal="right"/>
    </xf>
    <xf numFmtId="165" fontId="2" fillId="2" borderId="12" xfId="0" applyNumberFormat="1" applyFont="1" applyFill="1" applyBorder="1" applyAlignment="1">
      <alignment horizontal="right"/>
    </xf>
    <xf numFmtId="169" fontId="0" fillId="0" borderId="0" xfId="3" applyNumberFormat="1" applyFont="1" applyBorder="1"/>
    <xf numFmtId="169" fontId="2" fillId="0" borderId="1" xfId="3" applyNumberFormat="1" applyFont="1" applyBorder="1"/>
    <xf numFmtId="169" fontId="2" fillId="0" borderId="10" xfId="3" applyNumberFormat="1" applyFont="1" applyBorder="1"/>
    <xf numFmtId="165" fontId="2" fillId="2" borderId="6" xfId="0" applyNumberFormat="1" applyFont="1" applyFill="1" applyBorder="1"/>
    <xf numFmtId="167" fontId="2" fillId="2" borderId="6" xfId="1" applyNumberFormat="1" applyFont="1" applyFill="1" applyBorder="1"/>
    <xf numFmtId="168" fontId="0" fillId="2" borderId="6" xfId="1" applyNumberFormat="1" applyFont="1" applyFill="1" applyBorder="1"/>
    <xf numFmtId="2" fontId="0" fillId="2" borderId="6" xfId="0" applyNumberFormat="1" applyFill="1" applyBorder="1"/>
    <xf numFmtId="10" fontId="0" fillId="2" borderId="6" xfId="1" applyNumberFormat="1" applyFont="1" applyFill="1" applyBorder="1"/>
    <xf numFmtId="167" fontId="0" fillId="2" borderId="6" xfId="1" applyNumberFormat="1" applyFont="1" applyFill="1" applyBorder="1"/>
    <xf numFmtId="10" fontId="0" fillId="2" borderId="16" xfId="1" applyNumberFormat="1" applyFont="1" applyFill="1" applyBorder="1"/>
    <xf numFmtId="0" fontId="2" fillId="0" borderId="6" xfId="0" applyFont="1" applyBorder="1"/>
    <xf numFmtId="0" fontId="2" fillId="0" borderId="5" xfId="0" applyFont="1" applyBorder="1" applyAlignment="1">
      <alignment horizontal="right"/>
    </xf>
    <xf numFmtId="165" fontId="0" fillId="3" borderId="0" xfId="0" applyNumberFormat="1" applyFill="1"/>
    <xf numFmtId="165" fontId="2" fillId="3" borderId="6" xfId="0" applyNumberFormat="1" applyFont="1" applyFill="1" applyBorder="1"/>
    <xf numFmtId="0" fontId="2" fillId="0" borderId="14" xfId="0" applyFont="1" applyBorder="1"/>
    <xf numFmtId="165" fontId="0" fillId="3" borderId="15" xfId="0" applyNumberFormat="1" applyFill="1" applyBorder="1"/>
    <xf numFmtId="9" fontId="0" fillId="3" borderId="15" xfId="1" applyFont="1" applyFill="1" applyBorder="1"/>
    <xf numFmtId="165" fontId="0" fillId="3" borderId="16" xfId="0" applyNumberFormat="1" applyFill="1" applyBorder="1"/>
    <xf numFmtId="9" fontId="0" fillId="0" borderId="0" xfId="1" applyFont="1" applyFill="1" applyBorder="1"/>
    <xf numFmtId="0" fontId="2" fillId="0" borderId="0" xfId="0" applyFont="1" applyAlignment="1">
      <alignment horizontal="center"/>
    </xf>
    <xf numFmtId="170" fontId="0" fillId="2" borderId="0" xfId="0" applyNumberFormat="1" applyFill="1"/>
    <xf numFmtId="169" fontId="0" fillId="2" borderId="0" xfId="0" applyNumberFormat="1" applyFill="1"/>
    <xf numFmtId="0" fontId="2" fillId="0" borderId="0" xfId="0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2" fillId="2" borderId="6" xfId="0" applyNumberFormat="1" applyFont="1" applyFill="1" applyBorder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J6"/>
  <sheetViews>
    <sheetView workbookViewId="0">
      <selection activeCell="D11" sqref="D11"/>
    </sheetView>
  </sheetViews>
  <sheetFormatPr defaultRowHeight="14.75" x14ac:dyDescent="0.75"/>
  <sheetData>
    <row r="4" spans="4:10" ht="15.5" thickBot="1" x14ac:dyDescent="0.9"/>
    <row r="5" spans="4:10" x14ac:dyDescent="0.75">
      <c r="D5" s="46" t="s">
        <v>0</v>
      </c>
      <c r="E5" s="47"/>
      <c r="F5" s="47"/>
      <c r="G5" s="47"/>
      <c r="H5" s="47"/>
      <c r="I5" s="47"/>
      <c r="J5" s="48"/>
    </row>
    <row r="6" spans="4:10" ht="15.5" thickBot="1" x14ac:dyDescent="0.9">
      <c r="D6" s="49"/>
      <c r="E6" s="50"/>
      <c r="F6" s="50"/>
      <c r="G6" s="50"/>
      <c r="H6" s="50"/>
      <c r="I6" s="50"/>
      <c r="J6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29"/>
  <sheetViews>
    <sheetView tabSelected="1" zoomScale="80" zoomScaleNormal="80" workbookViewId="0">
      <selection activeCell="H16" sqref="H16"/>
    </sheetView>
  </sheetViews>
  <sheetFormatPr defaultRowHeight="14.75" x14ac:dyDescent="0.75"/>
  <cols>
    <col min="2" max="2" width="46.453125" customWidth="1"/>
    <col min="3" max="3" width="21.453125" bestFit="1" customWidth="1"/>
    <col min="4" max="4" width="20.54296875" customWidth="1"/>
    <col min="5" max="5" width="20.31640625" bestFit="1" customWidth="1"/>
    <col min="6" max="6" width="19.453125" bestFit="1" customWidth="1"/>
    <col min="7" max="7" width="21.453125" bestFit="1" customWidth="1"/>
    <col min="8" max="8" width="22.54296875" customWidth="1"/>
    <col min="9" max="11" width="15.31640625" bestFit="1" customWidth="1"/>
    <col min="12" max="14" width="16.453125" bestFit="1" customWidth="1"/>
    <col min="15" max="17" width="16.453125" customWidth="1"/>
    <col min="18" max="18" width="17" customWidth="1"/>
    <col min="19" max="19" width="20.54296875" customWidth="1"/>
  </cols>
  <sheetData>
    <row r="2" spans="2:20" ht="15.5" thickBot="1" x14ac:dyDescent="0.9"/>
    <row r="3" spans="2:20" x14ac:dyDescent="0.75">
      <c r="B3" s="9" t="s">
        <v>1</v>
      </c>
      <c r="C3" s="60" t="s">
        <v>2</v>
      </c>
      <c r="D3" s="23"/>
      <c r="E3" s="23"/>
      <c r="F3" s="23"/>
      <c r="G3" s="23"/>
      <c r="H3" s="24"/>
    </row>
    <row r="4" spans="2:20" x14ac:dyDescent="0.75">
      <c r="B4" s="14"/>
      <c r="C4" s="1" t="s">
        <v>3</v>
      </c>
      <c r="D4" s="101" t="s">
        <v>4</v>
      </c>
      <c r="E4" s="101"/>
      <c r="F4" s="101"/>
      <c r="G4" s="101"/>
      <c r="H4" s="25"/>
    </row>
    <row r="5" spans="2:20" x14ac:dyDescent="0.75">
      <c r="B5" s="14"/>
      <c r="C5" s="6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89" t="s">
        <v>10</v>
      </c>
      <c r="I5" s="1"/>
      <c r="J5" s="1"/>
      <c r="K5" s="1"/>
      <c r="L5" s="1"/>
      <c r="M5" s="1"/>
      <c r="N5" s="1"/>
      <c r="O5" s="98"/>
      <c r="P5" s="98"/>
      <c r="Q5" s="98"/>
      <c r="R5" s="101"/>
    </row>
    <row r="6" spans="2:20" x14ac:dyDescent="0.75">
      <c r="B6" s="14"/>
      <c r="C6" s="1" t="s">
        <v>11</v>
      </c>
      <c r="H6" s="25"/>
      <c r="R6" s="101"/>
    </row>
    <row r="7" spans="2:20" x14ac:dyDescent="0.75">
      <c r="B7" s="90" t="s">
        <v>12</v>
      </c>
      <c r="C7" s="91">
        <v>141350</v>
      </c>
      <c r="D7" s="91"/>
      <c r="E7" s="91">
        <f>D7*2</f>
        <v>0</v>
      </c>
      <c r="F7" s="91">
        <f>E7*2</f>
        <v>0</v>
      </c>
      <c r="G7" s="91">
        <f>F7*1.3</f>
        <v>0</v>
      </c>
      <c r="H7" s="92">
        <f>SUM(C7:G7)</f>
        <v>141350</v>
      </c>
      <c r="I7" s="2"/>
      <c r="J7" s="2"/>
      <c r="K7" s="2"/>
      <c r="L7" s="2"/>
      <c r="M7" s="2"/>
      <c r="N7" s="2"/>
      <c r="O7" s="2"/>
      <c r="P7" s="2"/>
      <c r="Q7" s="2"/>
      <c r="R7" s="6"/>
      <c r="S7" s="3"/>
      <c r="T7" s="5"/>
    </row>
    <row r="8" spans="2:20" ht="15.5" thickBot="1" x14ac:dyDescent="0.9">
      <c r="B8" s="93"/>
      <c r="C8" s="94"/>
      <c r="D8" s="95"/>
      <c r="E8" s="95"/>
      <c r="F8" s="95"/>
      <c r="G8" s="95"/>
      <c r="H8" s="96"/>
      <c r="I8" s="2"/>
      <c r="J8" s="2"/>
      <c r="K8" s="2"/>
      <c r="L8" s="2"/>
      <c r="M8" s="2"/>
      <c r="N8" s="2"/>
      <c r="O8" s="2"/>
      <c r="P8" s="2"/>
      <c r="Q8" s="2"/>
      <c r="R8" s="6"/>
      <c r="S8" s="3"/>
      <c r="T8" s="5"/>
    </row>
    <row r="9" spans="2:20" x14ac:dyDescent="0.75">
      <c r="B9" s="1"/>
      <c r="C9" s="2"/>
      <c r="D9" s="97"/>
      <c r="E9" s="97"/>
      <c r="F9" s="97"/>
      <c r="G9" s="97"/>
      <c r="H9" s="2"/>
      <c r="I9" s="2"/>
      <c r="J9" s="2"/>
      <c r="K9" s="2"/>
      <c r="L9" s="2"/>
      <c r="M9" s="2"/>
      <c r="N9" s="2"/>
      <c r="O9" s="2"/>
      <c r="P9" s="2"/>
      <c r="Q9" s="2"/>
      <c r="R9" s="6"/>
      <c r="S9" s="3"/>
      <c r="T9" s="5"/>
    </row>
    <row r="10" spans="2:20" ht="15.5" thickBot="1" x14ac:dyDescent="0.9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6"/>
      <c r="S10" s="3"/>
      <c r="T10" s="5"/>
    </row>
    <row r="11" spans="2:20" x14ac:dyDescent="0.75">
      <c r="B11" s="9" t="s">
        <v>13</v>
      </c>
      <c r="C11" s="10"/>
      <c r="D11" s="10"/>
      <c r="E11" s="10"/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"/>
      <c r="S11" s="3"/>
      <c r="T11" s="5"/>
    </row>
    <row r="12" spans="2:20" x14ac:dyDescent="0.75">
      <c r="B12" s="12" t="s">
        <v>14</v>
      </c>
      <c r="C12" s="2"/>
      <c r="D12" s="102" t="s">
        <v>15</v>
      </c>
      <c r="E12" s="102"/>
      <c r="F12" s="10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6"/>
      <c r="S12" s="3"/>
      <c r="T12" s="5"/>
    </row>
    <row r="13" spans="2:20" x14ac:dyDescent="0.75">
      <c r="B13" s="13"/>
      <c r="C13" s="2"/>
      <c r="D13" s="18"/>
      <c r="E13" s="18"/>
      <c r="F13" s="1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20" x14ac:dyDescent="0.75">
      <c r="B14" s="14"/>
      <c r="C14" s="52" t="s">
        <v>5</v>
      </c>
      <c r="D14" s="76" t="s">
        <v>16</v>
      </c>
      <c r="E14" s="77" t="s">
        <v>17</v>
      </c>
      <c r="F14" s="78" t="s">
        <v>18</v>
      </c>
      <c r="G14" s="6"/>
      <c r="H14" s="6"/>
      <c r="I14" s="2"/>
      <c r="J14" s="2"/>
      <c r="K14" s="2"/>
      <c r="L14" s="2"/>
      <c r="N14" s="2"/>
      <c r="O14" s="2"/>
      <c r="P14" s="2"/>
      <c r="Q14" s="2"/>
    </row>
    <row r="15" spans="2:20" x14ac:dyDescent="0.75">
      <c r="B15" s="13" t="s">
        <v>12</v>
      </c>
      <c r="C15" s="2">
        <v>141350</v>
      </c>
      <c r="D15" s="99"/>
      <c r="E15" s="18"/>
      <c r="F15" s="19"/>
      <c r="G15" s="4"/>
      <c r="H15" s="2"/>
      <c r="I15" s="2"/>
      <c r="J15" s="2"/>
      <c r="K15" s="2"/>
      <c r="L15" s="2"/>
      <c r="N15" s="2"/>
      <c r="O15" s="2"/>
      <c r="P15" s="2"/>
      <c r="Q15" s="2"/>
    </row>
    <row r="16" spans="2:20" x14ac:dyDescent="0.75">
      <c r="B16" s="14" t="s">
        <v>19</v>
      </c>
      <c r="C16" s="2">
        <v>40623</v>
      </c>
      <c r="D16" s="18"/>
      <c r="E16" s="18"/>
      <c r="F16" s="18"/>
      <c r="G16" s="4"/>
      <c r="H16" s="2"/>
      <c r="I16" s="2"/>
      <c r="J16" s="2"/>
      <c r="K16" s="2"/>
      <c r="L16" s="2"/>
      <c r="N16" s="2"/>
      <c r="O16" s="2"/>
      <c r="P16" s="2"/>
      <c r="Q16" s="2"/>
    </row>
    <row r="17" spans="2:17" x14ac:dyDescent="0.75">
      <c r="B17" s="14" t="s">
        <v>20</v>
      </c>
      <c r="C17" s="2">
        <v>45833</v>
      </c>
      <c r="D17" s="18"/>
      <c r="E17" s="18"/>
      <c r="F17" s="18"/>
      <c r="G17" s="4"/>
      <c r="H17" s="2"/>
      <c r="I17" s="2"/>
      <c r="J17" s="2"/>
      <c r="K17" s="2"/>
      <c r="L17" s="2"/>
      <c r="N17" s="2"/>
      <c r="O17" s="2"/>
      <c r="P17" s="2"/>
      <c r="Q17" s="2"/>
    </row>
    <row r="18" spans="2:17" x14ac:dyDescent="0.75">
      <c r="B18" s="15" t="s">
        <v>21</v>
      </c>
      <c r="C18" s="8">
        <f>C15-C16-C17</f>
        <v>54894</v>
      </c>
      <c r="D18" s="8">
        <f>D15-D16-D17</f>
        <v>0</v>
      </c>
      <c r="E18" s="8">
        <f>E15-E16-E17</f>
        <v>0</v>
      </c>
      <c r="F18" s="8">
        <f>F15-F16-F17</f>
        <v>0</v>
      </c>
      <c r="G18" s="4"/>
      <c r="H18" s="2"/>
      <c r="I18" s="2"/>
      <c r="J18" s="2"/>
      <c r="K18" s="2"/>
      <c r="L18" s="2"/>
      <c r="N18" s="2"/>
      <c r="O18" s="2"/>
      <c r="P18" s="2"/>
      <c r="Q18" s="2"/>
    </row>
    <row r="19" spans="2:17" x14ac:dyDescent="0.75">
      <c r="B19" s="14"/>
      <c r="C19" s="2"/>
      <c r="D19" s="18"/>
      <c r="E19" s="18"/>
      <c r="F19" s="19"/>
      <c r="G19" s="2"/>
      <c r="H19" s="2"/>
      <c r="I19" s="2"/>
      <c r="J19" s="2"/>
      <c r="K19" s="2"/>
      <c r="L19" s="2"/>
      <c r="N19" s="2"/>
      <c r="O19" s="2"/>
      <c r="P19" s="2"/>
      <c r="Q19" s="2"/>
    </row>
    <row r="20" spans="2:17" x14ac:dyDescent="0.75">
      <c r="B20" s="14" t="s">
        <v>22</v>
      </c>
      <c r="C20" s="2">
        <f>279554</f>
        <v>279554</v>
      </c>
      <c r="D20" s="18"/>
      <c r="E20" s="18"/>
      <c r="F20" s="19"/>
      <c r="G20" s="39"/>
      <c r="H20" s="6"/>
      <c r="I20" s="2"/>
      <c r="J20" s="2"/>
      <c r="K20" s="2"/>
      <c r="L20" s="2"/>
      <c r="N20" s="2"/>
      <c r="O20" s="2"/>
      <c r="P20" s="2"/>
      <c r="Q20" s="2"/>
    </row>
    <row r="21" spans="2:17" x14ac:dyDescent="0.75">
      <c r="B21" s="15" t="s">
        <v>23</v>
      </c>
      <c r="C21" s="8">
        <f>C18-C20</f>
        <v>-224660</v>
      </c>
      <c r="D21" s="8">
        <f>D18-D20</f>
        <v>0</v>
      </c>
      <c r="E21" s="8">
        <f>E18-E20</f>
        <v>0</v>
      </c>
      <c r="F21" s="8">
        <f>F18-F20</f>
        <v>0</v>
      </c>
      <c r="G21" s="39"/>
      <c r="H21" s="6"/>
      <c r="I21" s="2"/>
      <c r="J21" s="2"/>
      <c r="K21" s="2"/>
      <c r="L21" s="2"/>
      <c r="N21" s="2"/>
      <c r="O21" s="2"/>
      <c r="P21" s="2"/>
      <c r="Q21" s="2"/>
    </row>
    <row r="22" spans="2:17" x14ac:dyDescent="0.75">
      <c r="B22" s="14" t="s">
        <v>24</v>
      </c>
      <c r="C22" s="2">
        <v>0</v>
      </c>
      <c r="D22" s="18"/>
      <c r="E22" s="18"/>
      <c r="F22" s="18"/>
      <c r="G22" s="3"/>
      <c r="H22" s="2"/>
      <c r="I22" s="2"/>
      <c r="J22" s="2"/>
      <c r="K22" s="2"/>
      <c r="L22" s="2"/>
      <c r="N22" s="2"/>
      <c r="O22" s="2"/>
      <c r="P22" s="2"/>
      <c r="Q22" s="2"/>
    </row>
    <row r="23" spans="2:17" ht="15.5" thickBot="1" x14ac:dyDescent="0.9">
      <c r="B23" s="16" t="s">
        <v>25</v>
      </c>
      <c r="C23" s="17">
        <f>C18-C20-C22</f>
        <v>-224660</v>
      </c>
      <c r="D23" s="17">
        <f>D18-D20-D22</f>
        <v>0</v>
      </c>
      <c r="E23" s="17">
        <f>E18-E20-E22</f>
        <v>0</v>
      </c>
      <c r="F23" s="17">
        <f>F18-F20-F22</f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5" spans="2:17" x14ac:dyDescent="0.75">
      <c r="C25" s="4"/>
      <c r="H25" s="2"/>
    </row>
    <row r="26" spans="2:17" x14ac:dyDescent="0.75">
      <c r="H26" s="2"/>
    </row>
    <row r="27" spans="2:17" x14ac:dyDescent="0.75">
      <c r="C27" s="2"/>
      <c r="H27" s="2"/>
    </row>
    <row r="28" spans="2:17" x14ac:dyDescent="0.75">
      <c r="D28" s="2"/>
      <c r="E28" s="2"/>
      <c r="F28" s="2"/>
      <c r="H28" s="2"/>
    </row>
    <row r="29" spans="2:17" x14ac:dyDescent="0.75">
      <c r="H29" s="2"/>
    </row>
  </sheetData>
  <mergeCells count="3">
    <mergeCell ref="R5:R6"/>
    <mergeCell ref="D4:G4"/>
    <mergeCell ref="D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M22"/>
  <sheetViews>
    <sheetView zoomScale="80" zoomScaleNormal="80" workbookViewId="0">
      <selection activeCell="L9" sqref="L9"/>
    </sheetView>
  </sheetViews>
  <sheetFormatPr defaultRowHeight="14.75" x14ac:dyDescent="0.75"/>
  <cols>
    <col min="2" max="2" width="3.54296875" customWidth="1"/>
    <col min="3" max="3" width="28.6796875" customWidth="1"/>
    <col min="4" max="4" width="22" bestFit="1" customWidth="1"/>
    <col min="5" max="7" width="13" bestFit="1" customWidth="1"/>
    <col min="8" max="8" width="10.31640625" customWidth="1"/>
    <col min="9" max="9" width="24.31640625" customWidth="1"/>
    <col min="10" max="10" width="26.86328125" customWidth="1"/>
    <col min="11" max="11" width="13.86328125" bestFit="1" customWidth="1"/>
    <col min="12" max="13" width="11.54296875" bestFit="1" customWidth="1"/>
  </cols>
  <sheetData>
    <row r="1" spans="3:13" ht="15.5" thickBot="1" x14ac:dyDescent="0.9"/>
    <row r="2" spans="3:13" x14ac:dyDescent="0.75">
      <c r="C2" s="9" t="s">
        <v>26</v>
      </c>
      <c r="D2" s="60" t="s">
        <v>2</v>
      </c>
      <c r="E2" s="23"/>
      <c r="F2" s="23"/>
      <c r="G2" s="24"/>
    </row>
    <row r="3" spans="3:13" x14ac:dyDescent="0.75">
      <c r="C3" s="12" t="s">
        <v>27</v>
      </c>
      <c r="G3" s="25"/>
    </row>
    <row r="4" spans="3:13" ht="15.5" thickBot="1" x14ac:dyDescent="0.9">
      <c r="C4" s="13"/>
      <c r="G4" s="25"/>
    </row>
    <row r="5" spans="3:13" x14ac:dyDescent="0.75">
      <c r="C5" s="13"/>
      <c r="G5" s="25"/>
      <c r="J5" s="61" t="s">
        <v>28</v>
      </c>
      <c r="K5" s="62"/>
      <c r="L5" s="62"/>
      <c r="M5" s="63"/>
    </row>
    <row r="6" spans="3:13" x14ac:dyDescent="0.75">
      <c r="C6" s="14"/>
      <c r="D6" s="52" t="s">
        <v>5</v>
      </c>
      <c r="E6" s="36" t="s">
        <v>16</v>
      </c>
      <c r="F6" s="37" t="s">
        <v>17</v>
      </c>
      <c r="G6" s="38" t="s">
        <v>18</v>
      </c>
      <c r="H6" s="6" t="s">
        <v>29</v>
      </c>
      <c r="J6" s="64"/>
      <c r="K6" s="65" t="s">
        <v>16</v>
      </c>
      <c r="L6" s="66" t="s">
        <v>17</v>
      </c>
      <c r="M6" s="67" t="s">
        <v>18</v>
      </c>
    </row>
    <row r="7" spans="3:13" x14ac:dyDescent="0.75">
      <c r="C7" s="13" t="s">
        <v>30</v>
      </c>
      <c r="E7" s="26"/>
      <c r="F7" s="26"/>
      <c r="G7" s="27"/>
      <c r="H7" t="s">
        <v>31</v>
      </c>
      <c r="J7" s="68" t="s">
        <v>32</v>
      </c>
      <c r="K7" s="69"/>
      <c r="L7" s="69"/>
      <c r="M7" s="70"/>
    </row>
    <row r="8" spans="3:13" x14ac:dyDescent="0.75">
      <c r="C8" s="14" t="s">
        <v>33</v>
      </c>
      <c r="D8" s="79">
        <v>125943</v>
      </c>
      <c r="E8" s="28">
        <f>D8</f>
        <v>125943</v>
      </c>
      <c r="F8" s="28">
        <f>E8</f>
        <v>125943</v>
      </c>
      <c r="G8" s="29">
        <f>F8</f>
        <v>125943</v>
      </c>
      <c r="J8" s="64" t="s">
        <v>34</v>
      </c>
      <c r="K8" s="71"/>
      <c r="L8" s="71"/>
      <c r="M8" s="72"/>
    </row>
    <row r="9" spans="3:13" x14ac:dyDescent="0.75">
      <c r="C9" s="14" t="s">
        <v>35</v>
      </c>
      <c r="D9" s="79">
        <v>21202.5</v>
      </c>
      <c r="E9" s="28"/>
      <c r="F9" s="28"/>
      <c r="G9" s="29"/>
      <c r="H9" t="s">
        <v>36</v>
      </c>
      <c r="J9" s="68" t="s">
        <v>37</v>
      </c>
      <c r="K9" s="69"/>
      <c r="L9" s="69"/>
      <c r="M9" s="70"/>
    </row>
    <row r="10" spans="3:13" x14ac:dyDescent="0.75">
      <c r="C10" s="14" t="s">
        <v>38</v>
      </c>
      <c r="D10" s="79">
        <v>628194.5</v>
      </c>
      <c r="E10" s="28"/>
      <c r="F10" s="28"/>
      <c r="G10" s="29"/>
      <c r="J10" s="64" t="s">
        <v>39</v>
      </c>
      <c r="K10" s="71"/>
      <c r="L10" s="71"/>
      <c r="M10" s="72"/>
    </row>
    <row r="11" spans="3:13" ht="15.5" thickBot="1" x14ac:dyDescent="0.9">
      <c r="C11" s="15" t="s">
        <v>40</v>
      </c>
      <c r="D11" s="80">
        <f>SUM(D9:D10)</f>
        <v>649397</v>
      </c>
      <c r="E11" s="30"/>
      <c r="F11" s="30"/>
      <c r="G11" s="31"/>
      <c r="J11" s="73"/>
      <c r="K11" s="74"/>
      <c r="L11" s="74"/>
      <c r="M11" s="75"/>
    </row>
    <row r="12" spans="3:13" x14ac:dyDescent="0.75">
      <c r="C12" s="14"/>
      <c r="E12" s="26"/>
      <c r="F12" s="26"/>
      <c r="G12" s="27"/>
    </row>
    <row r="13" spans="3:13" ht="15.5" thickBot="1" x14ac:dyDescent="0.9">
      <c r="C13" s="16" t="s">
        <v>41</v>
      </c>
      <c r="D13" s="22">
        <f>D11+D8</f>
        <v>775340</v>
      </c>
      <c r="E13" s="32"/>
      <c r="F13" s="32"/>
      <c r="G13" s="33"/>
      <c r="H13" s="2"/>
    </row>
    <row r="14" spans="3:13" x14ac:dyDescent="0.75">
      <c r="C14" s="14"/>
      <c r="E14" s="26"/>
      <c r="F14" s="26"/>
      <c r="G14" s="27"/>
      <c r="H14" s="2"/>
    </row>
    <row r="15" spans="3:13" x14ac:dyDescent="0.75">
      <c r="C15" s="13" t="s">
        <v>42</v>
      </c>
      <c r="E15" s="26"/>
      <c r="F15" s="26"/>
      <c r="G15" s="27"/>
    </row>
    <row r="16" spans="3:13" x14ac:dyDescent="0.75">
      <c r="C16" s="14"/>
      <c r="E16" s="26"/>
      <c r="F16" s="26"/>
      <c r="G16" s="27"/>
    </row>
    <row r="17" spans="3:9" x14ac:dyDescent="0.75">
      <c r="C17" s="14" t="s">
        <v>43</v>
      </c>
      <c r="D17" s="79">
        <v>1000000</v>
      </c>
      <c r="E17" s="100">
        <f>D17</f>
        <v>1000000</v>
      </c>
      <c r="F17" s="100">
        <f>E17</f>
        <v>1000000</v>
      </c>
      <c r="G17" s="100">
        <f>F17</f>
        <v>1000000</v>
      </c>
    </row>
    <row r="18" spans="3:9" x14ac:dyDescent="0.75">
      <c r="C18" s="14" t="s">
        <v>44</v>
      </c>
      <c r="D18" s="79">
        <v>-224660</v>
      </c>
      <c r="E18" s="26"/>
      <c r="F18" s="26"/>
      <c r="G18" s="27"/>
    </row>
    <row r="19" spans="3:9" x14ac:dyDescent="0.75">
      <c r="C19" s="14" t="s">
        <v>45</v>
      </c>
      <c r="D19" s="79">
        <f>D17+D18</f>
        <v>775340</v>
      </c>
      <c r="E19" s="26"/>
      <c r="F19" s="26"/>
      <c r="G19" s="27"/>
      <c r="I19" s="1"/>
    </row>
    <row r="20" spans="3:9" ht="15.5" thickBot="1" x14ac:dyDescent="0.9">
      <c r="C20" s="16" t="s">
        <v>46</v>
      </c>
      <c r="D20" s="81">
        <f>D19</f>
        <v>775340</v>
      </c>
      <c r="E20" s="34"/>
      <c r="F20" s="34"/>
      <c r="G20" s="35"/>
    </row>
    <row r="22" spans="3:9" x14ac:dyDescent="0.75">
      <c r="C22" s="1" t="s">
        <v>47</v>
      </c>
      <c r="D22" s="7">
        <f>D20-D13</f>
        <v>0</v>
      </c>
      <c r="E22" s="7">
        <f t="shared" ref="E22:G22" si="0">E20-E13</f>
        <v>0</v>
      </c>
      <c r="F22" s="7">
        <f t="shared" si="0"/>
        <v>0</v>
      </c>
      <c r="G22" s="7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15"/>
  <sheetViews>
    <sheetView zoomScale="80" zoomScaleNormal="80" workbookViewId="0">
      <selection activeCell="D22" sqref="D22"/>
    </sheetView>
  </sheetViews>
  <sheetFormatPr defaultRowHeight="14.75" x14ac:dyDescent="0.75"/>
  <cols>
    <col min="3" max="3" width="23.6796875" bestFit="1" customWidth="1"/>
    <col min="4" max="4" width="22.453125" bestFit="1" customWidth="1"/>
    <col min="5" max="7" width="11.54296875" bestFit="1" customWidth="1"/>
    <col min="8" max="8" width="20.31640625" bestFit="1" customWidth="1"/>
  </cols>
  <sheetData>
    <row r="2" spans="3:8" ht="15.5" thickBot="1" x14ac:dyDescent="0.9"/>
    <row r="3" spans="3:8" x14ac:dyDescent="0.75">
      <c r="C3" s="42" t="s">
        <v>48</v>
      </c>
      <c r="D3" s="44" t="s">
        <v>5</v>
      </c>
      <c r="E3" s="43" t="s">
        <v>16</v>
      </c>
      <c r="F3" s="44" t="s">
        <v>17</v>
      </c>
      <c r="G3" s="45" t="s">
        <v>18</v>
      </c>
      <c r="H3" s="1"/>
    </row>
    <row r="4" spans="3:8" x14ac:dyDescent="0.75">
      <c r="C4" s="13"/>
      <c r="D4" s="21"/>
      <c r="E4" s="20"/>
      <c r="F4" s="21"/>
      <c r="G4" s="82"/>
      <c r="H4" s="1"/>
    </row>
    <row r="5" spans="3:8" x14ac:dyDescent="0.75">
      <c r="C5" s="14" t="s">
        <v>49</v>
      </c>
      <c r="D5" s="57"/>
      <c r="E5" s="57"/>
      <c r="F5" s="57"/>
      <c r="G5" s="83"/>
    </row>
    <row r="6" spans="3:8" x14ac:dyDescent="0.75">
      <c r="C6" s="14" t="s">
        <v>50</v>
      </c>
      <c r="D6" s="58"/>
      <c r="E6" s="58"/>
      <c r="F6" s="58"/>
      <c r="G6" s="84"/>
    </row>
    <row r="7" spans="3:8" x14ac:dyDescent="0.75">
      <c r="C7" s="40"/>
      <c r="D7" s="53"/>
      <c r="E7" s="53"/>
      <c r="F7" s="53"/>
      <c r="G7" s="84"/>
    </row>
    <row r="8" spans="3:8" x14ac:dyDescent="0.75">
      <c r="C8" s="13" t="s">
        <v>51</v>
      </c>
      <c r="D8" s="26"/>
      <c r="E8" s="26"/>
      <c r="F8" s="26"/>
      <c r="G8" s="27"/>
    </row>
    <row r="9" spans="3:8" x14ac:dyDescent="0.75">
      <c r="C9" s="14" t="s">
        <v>52</v>
      </c>
      <c r="D9" s="54"/>
      <c r="E9" s="54"/>
      <c r="F9" s="54"/>
      <c r="G9" s="85"/>
    </row>
    <row r="10" spans="3:8" x14ac:dyDescent="0.75">
      <c r="C10" s="14"/>
      <c r="D10" s="26"/>
      <c r="E10" s="26"/>
      <c r="F10" s="26"/>
      <c r="G10" s="27"/>
    </row>
    <row r="11" spans="3:8" x14ac:dyDescent="0.75">
      <c r="C11" s="13" t="s">
        <v>53</v>
      </c>
      <c r="D11" s="26"/>
      <c r="E11" s="26"/>
      <c r="F11" s="26"/>
      <c r="G11" s="27"/>
    </row>
    <row r="12" spans="3:8" x14ac:dyDescent="0.75">
      <c r="C12" s="14" t="s">
        <v>54</v>
      </c>
      <c r="D12" s="59"/>
      <c r="E12" s="59"/>
      <c r="F12" s="59"/>
      <c r="G12" s="86"/>
    </row>
    <row r="13" spans="3:8" x14ac:dyDescent="0.75">
      <c r="C13" s="14" t="s">
        <v>55</v>
      </c>
      <c r="D13" s="55"/>
      <c r="E13" s="55"/>
      <c r="F13" s="55"/>
      <c r="G13" s="87"/>
    </row>
    <row r="14" spans="3:8" x14ac:dyDescent="0.75">
      <c r="C14" s="14" t="s">
        <v>56</v>
      </c>
      <c r="D14" s="55"/>
      <c r="E14" s="55"/>
      <c r="F14" s="55"/>
      <c r="G14" s="87"/>
    </row>
    <row r="15" spans="3:8" ht="15.5" thickBot="1" x14ac:dyDescent="0.9">
      <c r="C15" s="41" t="s">
        <v>57</v>
      </c>
      <c r="D15" s="56"/>
      <c r="E15" s="56"/>
      <c r="F15" s="56"/>
      <c r="G15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Income Statement 2013</vt:lpstr>
      <vt:lpstr>Balance Sheet</vt:lpstr>
      <vt:lpstr>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2025-10-31T13:20:32Z</dcterms:modified>
  <cp:category/>
  <cp:contentStatus/>
</cp:coreProperties>
</file>